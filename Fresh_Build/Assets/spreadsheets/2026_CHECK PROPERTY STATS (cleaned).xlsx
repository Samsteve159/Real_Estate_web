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cu" sheetId="1" r:id="rId5"/>
    <sheet state="visible" name="REPORT | Inputs." sheetId="2" r:id="rId6"/>
    <sheet state="hidden" name="Stamp_Duty &amp; LMI" sheetId="3" r:id="rId7"/>
  </sheets>
  <definedNames>
    <definedName localSheetId="1" name="Gross_Income">'REPORT | Inputs.'!$AA$17:$AB$17</definedName>
    <definedName localSheetId="1" name="LVR">'REPORT | Inputs.'!$E$27</definedName>
    <definedName localSheetId="1" name="Loan_Type">'REPORT | Inputs.'!$E$28</definedName>
    <definedName name="WA_Duty">'Stamp_Duty &amp; LMI'!$A$27:$F$31</definedName>
    <definedName name="Qld_Duty">'Stamp_Duty &amp; LMI'!$A$12:$F$16</definedName>
    <definedName localSheetId="1" name="Loan_Rate_10Y_Avg">'REPORT | Inputs.'!$AB$38</definedName>
    <definedName localSheetId="1" name="ADDRESS">'REPORT | Inputs.'!$E$11</definedName>
    <definedName localSheetId="1" name="StillToPay">'REPORT | Inputs.'!$P$60:$P$61</definedName>
    <definedName name="SA_Duty">'Stamp_Duty &amp; LMI'!$A$45:$F$53</definedName>
    <definedName localSheetId="1" name="Loan_Term">'REPORT | Inputs.'!$E$30</definedName>
    <definedName localSheetId="1" name="CONTRACT_DATE">'REPORT | Inputs.'!$E$23</definedName>
    <definedName localSheetId="1" name="PRICE">'REPORT | Inputs.'!$E$16</definedName>
    <definedName localSheetId="1" name="Days_Unconditional">'REPORT | Inputs.'!$E$24</definedName>
    <definedName name="NSW_Duty">'Stamp_Duty &amp; LMI'!$A$3:$F$8</definedName>
    <definedName localSheetId="1" name="VALUATION">'REPORT | Inputs.'!$E$17</definedName>
    <definedName localSheetId="1" name="CashRequired">'REPORT | Inputs.'!$P$62:$P$63</definedName>
    <definedName name="Vic_Duty">'Stamp_Duty &amp; LMI'!$A$20:$F$23</definedName>
    <definedName localSheetId="1" name="RPW">'REPORT | Inputs.'!$E$20</definedName>
    <definedName name="TAS_Duty">'Stamp_Duty &amp; LMI'!$A$35:$F$41</definedName>
    <definedName localSheetId="1" name="PURCHASER">'REPORT | Inputs.'!$E$14</definedName>
    <definedName localSheetId="1" name="Days_Settlement">'REPORT | Inputs.'!$E$25</definedName>
    <definedName localSheetId="1" name="STATE">'REPORT | Inputs.'!$E$12</definedName>
    <definedName localSheetId="1" name="Loan_Rate_Y1">'REPORT | Inputs.'!$E$29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tc={3c39e485-f677-4cef-8423-194bf2485f8a}</author>
  </authors>
  <commentList>
    <comment authorId="0" xr:uid="{3c39e485-f677-4cef-8423-194bf2485f8a}" ref="V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Based off 6.8% Australian average equity growth - Across 10 year holding period
</t>
      </text>
    </comment>
  </commentList>
</comments>
</file>

<file path=xl/sharedStrings.xml><?xml version="1.0" encoding="utf-8"?>
<sst xmlns="http://schemas.openxmlformats.org/spreadsheetml/2006/main" count="304" uniqueCount="203">
  <si>
    <t xml:space="preserve">  </t>
  </si>
  <si>
    <r>
      <rPr>
        <rFont val="Nunito"/>
        <b val="0"/>
        <color rgb="FF000000"/>
        <sz val="16.0"/>
      </rPr>
      <t>—— THE PURCHASE ——</t>
    </r>
    <r>
      <rPr>
        <rFont val="Nunito"/>
        <b/>
        <color rgb="FF000000"/>
        <sz val="16.0"/>
      </rPr>
      <t xml:space="preserve">
Cash Required Estimate</t>
    </r>
  </si>
  <si>
    <r>
      <rPr>
        <rFont val="Nunito"/>
        <b val="0"/>
        <color rgb="FF000000"/>
        <sz val="16.0"/>
      </rPr>
      <t>—— THE HOLD ——</t>
    </r>
    <r>
      <rPr>
        <rFont val="Nunito"/>
        <b/>
        <color rgb="FF000000"/>
        <sz val="16.0"/>
      </rPr>
      <t xml:space="preserve">
Property Performance Projections (Estimates)</t>
    </r>
  </si>
  <si>
    <t>Property:</t>
  </si>
  <si>
    <t xml:space="preserve">Contract Date: </t>
  </si>
  <si>
    <t>Purchaser(s):</t>
  </si>
  <si>
    <t>INPUTS</t>
  </si>
  <si>
    <t>Payment Category</t>
  </si>
  <si>
    <t>Loan</t>
  </si>
  <si>
    <t>Cash In</t>
  </si>
  <si>
    <t>Total Performance Projections</t>
  </si>
  <si>
    <t>Property Address:</t>
  </si>
  <si>
    <t>Weir Views</t>
  </si>
  <si>
    <t>Property Purchase Price</t>
  </si>
  <si>
    <t>Weekly Rental Income</t>
  </si>
  <si>
    <t>State</t>
  </si>
  <si>
    <t>VIC</t>
  </si>
  <si>
    <t>Property Valuation At Purchase</t>
  </si>
  <si>
    <t>Total Performance 
(Growth + Net Cashflow)</t>
  </si>
  <si>
    <t>Total Deposit %</t>
  </si>
  <si>
    <t>Gross Annual Rental Income</t>
  </si>
  <si>
    <t>Akshay Kapoor</t>
  </si>
  <si>
    <t>Deposit Paid at Conditional %</t>
  </si>
  <si>
    <t>Vacancy Period</t>
  </si>
  <si>
    <t xml:space="preserve">Year 1 </t>
  </si>
  <si>
    <t>Deposit Paid at Unconditional %</t>
  </si>
  <si>
    <t>Letting Fee</t>
  </si>
  <si>
    <t>X weeks, est. 1p/a</t>
  </si>
  <si>
    <t>Year 5</t>
  </si>
  <si>
    <t>Purchase Price</t>
  </si>
  <si>
    <t>Adjusted Income</t>
  </si>
  <si>
    <t>Year 10</t>
  </si>
  <si>
    <t>Valuation at Purchase</t>
  </si>
  <si>
    <t>Gross Annual Property Income</t>
  </si>
  <si>
    <t>Cash On Cash Return (COC)</t>
  </si>
  <si>
    <t>%MV</t>
  </si>
  <si>
    <t>Payment Amounts</t>
  </si>
  <si>
    <t>Cash Out</t>
  </si>
  <si>
    <t>Year 1</t>
  </si>
  <si>
    <t>Rent Per Week:</t>
  </si>
  <si>
    <t>Loan Interest</t>
  </si>
  <si>
    <t>No. of Units:</t>
  </si>
  <si>
    <t>Engagement</t>
  </si>
  <si>
    <t>Payment Timing</t>
  </si>
  <si>
    <t>Due</t>
  </si>
  <si>
    <t>Amount</t>
  </si>
  <si>
    <t>Status</t>
  </si>
  <si>
    <t>Property Management</t>
  </si>
  <si>
    <t>Engagement Fee</t>
  </si>
  <si>
    <t>Paid</t>
  </si>
  <si>
    <t>Building &amp; Landlord Insurance</t>
  </si>
  <si>
    <t>Return on Invested Capital</t>
  </si>
  <si>
    <t>Council Rates + Water Estimate</t>
  </si>
  <si>
    <t>Days to Unconditional:</t>
  </si>
  <si>
    <t>Conditional Exchange of Contract</t>
  </si>
  <si>
    <t xml:space="preserve">Yard Maintenance (multi-dwelling) </t>
  </si>
  <si>
    <t>Days for Settlement:</t>
  </si>
  <si>
    <t>Conditional Holding Deposit</t>
  </si>
  <si>
    <t>Exchange of Contract</t>
  </si>
  <si>
    <t>To Pay</t>
  </si>
  <si>
    <t>Maintenance Allowance</t>
  </si>
  <si>
    <t>Forecast Annual Cash Expenses</t>
  </si>
  <si>
    <t>LVR</t>
  </si>
  <si>
    <t>Building &amp; Pest Inspection</t>
  </si>
  <si>
    <t>Land Tax (if applicable)</t>
  </si>
  <si>
    <t>Initial capital returned in:</t>
  </si>
  <si>
    <t>Loan Product</t>
  </si>
  <si>
    <t>P&amp;I</t>
  </si>
  <si>
    <t>Plumbing &amp; Electrical Inspections</t>
  </si>
  <si>
    <t>Interest Rate</t>
  </si>
  <si>
    <t>Independent Property Valuation (optional)</t>
  </si>
  <si>
    <t>Forecast Annual Non-Deductible Expenses</t>
  </si>
  <si>
    <t>Loan Term (Years)</t>
  </si>
  <si>
    <t>Potential Deductions / Rebate</t>
  </si>
  <si>
    <t>Unconditional Exchange of Contract</t>
  </si>
  <si>
    <t>Forecast Annual Deductions</t>
  </si>
  <si>
    <t>Cashflow Projections</t>
  </si>
  <si>
    <t>Growth Projections</t>
  </si>
  <si>
    <t>Loan amount (LVR*PP)</t>
  </si>
  <si>
    <t>Unconditional Holding Deposit (if any)</t>
  </si>
  <si>
    <t>Unconditional Exchange</t>
  </si>
  <si>
    <t>Potential Annual Net Cash Outflows</t>
  </si>
  <si>
    <t>Loan pre-approval</t>
  </si>
  <si>
    <t>BC Remaining</t>
  </si>
  <si>
    <t>Settlement</t>
  </si>
  <si>
    <t>Deposit Balance Paid at:</t>
  </si>
  <si>
    <t>Assumptions</t>
  </si>
  <si>
    <t xml:space="preserve">Funds Available: </t>
  </si>
  <si>
    <t>Cashflow Assumptions</t>
  </si>
  <si>
    <t>Funds Required</t>
  </si>
  <si>
    <t>Rent Growth</t>
  </si>
  <si>
    <t>Interest Rate Yr1</t>
  </si>
  <si>
    <t>Funds Remaining</t>
  </si>
  <si>
    <t>Mortgage Fees Paid at:</t>
  </si>
  <si>
    <t>Inflation</t>
  </si>
  <si>
    <t>I/Rate 10yr Average</t>
  </si>
  <si>
    <t>Conveyancing (Fees + Searches estimate) Paid at:</t>
  </si>
  <si>
    <t>Growth Assumptions</t>
  </si>
  <si>
    <t>Rates Adjustment - current period</t>
  </si>
  <si>
    <t>Year 6</t>
  </si>
  <si>
    <t>Dashdot - Balance (If applicable)</t>
  </si>
  <si>
    <t>Year 2</t>
  </si>
  <si>
    <t>Year 7</t>
  </si>
  <si>
    <t>Yield</t>
  </si>
  <si>
    <t>Net Cashflow</t>
  </si>
  <si>
    <t>Growth</t>
  </si>
  <si>
    <t>Equity</t>
  </si>
  <si>
    <t>Year 3</t>
  </si>
  <si>
    <t>Year 8</t>
  </si>
  <si>
    <t>Gross- Y1</t>
  </si>
  <si>
    <t>Net- Year 1</t>
  </si>
  <si>
    <t>Total- Y1</t>
  </si>
  <si>
    <t>Avg- Year 3</t>
  </si>
  <si>
    <t>Total- Year 3</t>
  </si>
  <si>
    <t>Post Settlement</t>
  </si>
  <si>
    <t>Year 4</t>
  </si>
  <si>
    <t>Year 9</t>
  </si>
  <si>
    <t>Gross- Y5</t>
  </si>
  <si>
    <t>Net- Year 5</t>
  </si>
  <si>
    <t>Total- Y5</t>
  </si>
  <si>
    <t>Avg- Year 5</t>
  </si>
  <si>
    <t>Total- Year 5</t>
  </si>
  <si>
    <t>Post-Settlement</t>
  </si>
  <si>
    <t>Gross- Y10</t>
  </si>
  <si>
    <t>Net- Year 10</t>
  </si>
  <si>
    <t>Total- Y10</t>
  </si>
  <si>
    <t>Avg- Year 10</t>
  </si>
  <si>
    <t>Total- Year 10</t>
  </si>
  <si>
    <t>At Purchase</t>
  </si>
  <si>
    <t>Property Value</t>
  </si>
  <si>
    <t>Loan Amount</t>
  </si>
  <si>
    <t>Principal Payments (cumulative)</t>
  </si>
  <si>
    <t>Payment Timing Summary</t>
  </si>
  <si>
    <t>Dates Cash Required</t>
  </si>
  <si>
    <t>Estimated Interest Rate</t>
  </si>
  <si>
    <t>Gross Income</t>
  </si>
  <si>
    <t>Gross Yield %</t>
  </si>
  <si>
    <t>Cash Outflows</t>
  </si>
  <si>
    <t xml:space="preserve">   Interest Expense</t>
  </si>
  <si>
    <t xml:space="preserve">   Operating Expenses</t>
  </si>
  <si>
    <t>Net Annual Cashflow</t>
  </si>
  <si>
    <t>Net Annual Cashflow (cumulative)</t>
  </si>
  <si>
    <t>Cashflow Summary</t>
  </si>
  <si>
    <t>Total Remaining to Settle</t>
  </si>
  <si>
    <t>Net Yield %</t>
  </si>
  <si>
    <t>Income/(Cost) Per Month</t>
  </si>
  <si>
    <t>Total Cash Required For Deal</t>
  </si>
  <si>
    <t>Paid To Date</t>
  </si>
  <si>
    <t>Capital Growth (annual)</t>
  </si>
  <si>
    <t>Capital Growth (cumulative)</t>
  </si>
  <si>
    <t>Total Performance</t>
  </si>
  <si>
    <t>Total Performance inc Pr</t>
  </si>
  <si>
    <t>Cash on Cash Return (cumulative)</t>
  </si>
  <si>
    <r>
      <rPr>
        <rFont val="Nunito"/>
        <b val="0"/>
        <color rgb="FF000000"/>
        <sz val="16.0"/>
      </rPr>
      <t>—— THE PURCHASE ——</t>
    </r>
    <r>
      <rPr>
        <rFont val="Nunito"/>
        <b/>
        <color rgb="FF000000"/>
        <sz val="16.0"/>
      </rPr>
      <t xml:space="preserve">
Due Dilligence Summary</t>
    </r>
  </si>
  <si>
    <r>
      <rPr>
        <rFont val="Nunito"/>
        <b val="0"/>
        <color rgb="FF000000"/>
        <sz val="16.0"/>
      </rPr>
      <t>—— THE HOLD ——</t>
    </r>
    <r>
      <rPr>
        <rFont val="Nunito"/>
        <b/>
        <color rgb="FF000000"/>
        <sz val="16.0"/>
      </rPr>
      <t xml:space="preserve">
Value-Add Planning</t>
    </r>
  </si>
  <si>
    <t>DUE DILLIGENCE</t>
  </si>
  <si>
    <t>Land Size (m2)</t>
  </si>
  <si>
    <t>Notes:</t>
  </si>
  <si>
    <t>RENOVATION</t>
  </si>
  <si>
    <t>Supply Risk</t>
  </si>
  <si>
    <t>Low</t>
  </si>
  <si>
    <t>Costs</t>
  </si>
  <si>
    <t>Suburb Vacancy Rate:</t>
  </si>
  <si>
    <t>Uplift - Equity</t>
  </si>
  <si>
    <t>VR Trend:</t>
  </si>
  <si>
    <t>Down</t>
  </si>
  <si>
    <t>Uplift - Rental (PW)</t>
  </si>
  <si>
    <t>Public Housing %:</t>
  </si>
  <si>
    <t>SUBDIVISION</t>
  </si>
  <si>
    <t>Renters %</t>
  </si>
  <si>
    <t>Lifestyle Score:</t>
  </si>
  <si>
    <t>8 / 10</t>
  </si>
  <si>
    <t>Convenience Score:</t>
  </si>
  <si>
    <t>8  / 10</t>
  </si>
  <si>
    <t>DD Folder:</t>
  </si>
  <si>
    <t>GRANNY FLAT</t>
  </si>
  <si>
    <t>OTHER</t>
  </si>
  <si>
    <t>TOTAL NET EQUITY UPLIFT</t>
  </si>
  <si>
    <t>TOTAL CASHFLOW UPLIFT</t>
  </si>
  <si>
    <t>NSW Duty Transfer Table</t>
  </si>
  <si>
    <t xml:space="preserve">LMI Premium Rates (QBE Insurance as at </t>
  </si>
  <si>
    <t>Under</t>
  </si>
  <si>
    <t>Over</t>
  </si>
  <si>
    <t xml:space="preserve"> If Purchase Price is:</t>
  </si>
  <si>
    <t>Over -</t>
  </si>
  <si>
    <t>But Not Over</t>
  </si>
  <si>
    <t>Tax Amount From
Previous Bracket</t>
  </si>
  <si>
    <t>Tax Rate For
Remaining Amount</t>
  </si>
  <si>
    <t>Part Value for Surplus</t>
  </si>
  <si>
    <t>Duty Table</t>
  </si>
  <si>
    <t>Table No.</t>
  </si>
  <si>
    <t>LVR Band (Lower)</t>
  </si>
  <si>
    <t>LVR Band (Higher)</t>
  </si>
  <si>
    <t>NSW</t>
  </si>
  <si>
    <t>QLD</t>
  </si>
  <si>
    <t>WA</t>
  </si>
  <si>
    <t>TAS</t>
  </si>
  <si>
    <t>SA</t>
  </si>
  <si>
    <t>QLD Duty Transfer Table</t>
  </si>
  <si>
    <t>VIC Duty Transfer Table</t>
  </si>
  <si>
    <t>WA Duty Transfer Table</t>
  </si>
  <si>
    <t>TAS Duty Transfer Table</t>
  </si>
  <si>
    <t>SA Duty Transfer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</si>
</sst>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&quot;/&quot;mm&quot;/&quot;yy"/>
    <numFmt numFmtId="165" formatCode="dd/mm/yyyy"/>
    <numFmt numFmtId="166" formatCode="&quot; &quot;&quot;$&quot;#,##0.00&quot; &quot;;&quot;-&quot;&quot;$&quot;#,##0.00&quot; &quot;;&quot; &quot;&quot;$&quot;&quot;-&quot;00&quot; &quot;;&quot; &quot;@&quot; &quot;"/>
    <numFmt numFmtId="167" formatCode="&quot;$&quot;#,##0.00"/>
    <numFmt numFmtId="168" formatCode="0.0%"/>
    <numFmt numFmtId="169" formatCode="&quot;$&quot;#,##0"/>
    <numFmt numFmtId="170" formatCode="d/m/yy"/>
    <numFmt numFmtId="171" formatCode="dd&quot;-&quot;mmm&quot;-&quot;yy"/>
    <numFmt numFmtId="172" formatCode="&quot; &quot;&quot;$&quot;#,##0&quot; &quot;;&quot;-&quot;&quot;$&quot;#,##0&quot; &quot;;&quot; &quot;&quot;$&quot;&quot;-&quot;00&quot; &quot;;&quot; &quot;@&quot; &quot;"/>
    <numFmt numFmtId="173" formatCode="ddd&quot;  &quot;dd&quot;/&quot;m"/>
    <numFmt numFmtId="174" formatCode="_-&quot;$&quot;* #,##0_-;\-&quot;$&quot;* #,##0_-;_-&quot;$&quot;* &quot;-&quot;??_-;_-@"/>
    <numFmt numFmtId="175" formatCode="_(&quot;$&quot;* #,##0_);_(&quot;$&quot;* \(#,##0\);_(&quot;$&quot;* &quot;0&quot;_);_(@_)"/>
  </numFmts>
  <fonts count="39">
    <font>
      <sz val="11.0"/>
      <color rgb="FF000000"/>
      <name val="Calibri"/>
      <scheme val="minor"/>
    </font>
    <font>
      <sz val="10.0"/>
      <color rgb="FF000000"/>
      <name val="Nunito"/>
    </font>
    <font/>
    <font>
      <b/>
      <sz val="18.0"/>
      <color rgb="FF000000"/>
      <name val="Nunito"/>
    </font>
    <font>
      <b/>
      <sz val="30.0"/>
      <color rgb="FFFFFFFF"/>
      <name val="Nunito"/>
    </font>
    <font>
      <b/>
      <sz val="16.0"/>
      <color rgb="FF000000"/>
      <name val="Nunito"/>
    </font>
    <font>
      <i/>
      <sz val="12.0"/>
      <color rgb="FFFFFFFF"/>
      <name val="Nunito"/>
    </font>
    <font>
      <b/>
      <sz val="10.0"/>
      <color rgb="FF000000"/>
      <name val="Nunito"/>
    </font>
    <font>
      <b/>
      <sz val="12.0"/>
      <color rgb="FF000000"/>
      <name val="Nunito"/>
    </font>
    <font>
      <b/>
      <sz val="6.0"/>
      <color rgb="FFFFFFFF"/>
      <name val="Nunito"/>
    </font>
    <font>
      <sz val="11.0"/>
      <color theme="1"/>
      <name val="Calibri"/>
    </font>
    <font>
      <sz val="11.0"/>
      <color rgb="FF000000"/>
      <name val="Calibri"/>
    </font>
    <font>
      <b/>
      <i/>
      <sz val="10.0"/>
      <color rgb="FF000000"/>
      <name val="Nunito"/>
    </font>
    <font>
      <b/>
      <sz val="11.0"/>
      <color rgb="FF000000"/>
      <name val="Nunito"/>
    </font>
    <font>
      <i/>
      <sz val="8.0"/>
      <color rgb="FF000000"/>
      <name val="Nunito"/>
    </font>
    <font>
      <sz val="10.0"/>
      <color theme="1"/>
      <name val="Nunito"/>
    </font>
    <font>
      <i/>
      <sz val="8.0"/>
      <color theme="1"/>
      <name val="Nunito"/>
    </font>
    <font>
      <i/>
      <sz val="10.0"/>
      <color rgb="FF000000"/>
      <name val="Nunito"/>
    </font>
    <font>
      <sz val="8.0"/>
      <color rgb="FF000000"/>
      <name val="Nunito"/>
    </font>
    <font>
      <i/>
      <sz val="9.0"/>
      <color theme="1"/>
      <name val="Nunito"/>
    </font>
    <font>
      <sz val="10.0"/>
      <color theme="1"/>
      <name val="Calibri"/>
    </font>
    <font>
      <b/>
      <sz val="9.0"/>
      <color rgb="FF000000"/>
      <name val="Nunito"/>
    </font>
    <font>
      <b/>
      <u/>
      <sz val="10.0"/>
      <color rgb="FF0000FF"/>
      <name val="Nunito"/>
    </font>
    <font>
      <b/>
      <i/>
      <sz val="9.0"/>
      <color rgb="FF000000"/>
      <name val="Nunito"/>
    </font>
    <font>
      <sz val="9.0"/>
      <color rgb="FF000000"/>
      <name val="Nunito"/>
    </font>
    <font>
      <b/>
      <sz val="9.0"/>
      <color theme="1"/>
      <name val="Nunito"/>
    </font>
    <font>
      <sz val="9.0"/>
      <color theme="1"/>
      <name val="Nunito"/>
    </font>
    <font>
      <b/>
      <sz val="11.0"/>
      <color theme="1"/>
      <name val="Nunito"/>
    </font>
    <font>
      <b/>
      <sz val="10.0"/>
      <color rgb="FFFFFFFF"/>
      <name val="Nunito"/>
    </font>
    <font>
      <i/>
      <sz val="10.0"/>
      <color theme="1"/>
      <name val="Nunito"/>
    </font>
    <font>
      <b/>
      <sz val="10.0"/>
      <color theme="1"/>
      <name val="Nunito"/>
    </font>
    <font>
      <b/>
      <sz val="10.0"/>
      <color rgb="FF45818E"/>
      <name val="Nunito"/>
    </font>
    <font>
      <sz val="7.0"/>
      <color rgb="FF000000"/>
      <name val="Nunito"/>
    </font>
    <font>
      <i/>
      <u/>
      <sz val="10.0"/>
      <color rgb="FF1155CC"/>
      <name val="Nunito"/>
    </font>
    <font>
      <i/>
      <sz val="8.0"/>
      <color rgb="FFD9D9D9"/>
      <name val="Nunito"/>
    </font>
    <font>
      <b/>
      <sz val="8.0"/>
      <color rgb="FFFFFFFF"/>
      <name val="Nunito"/>
    </font>
    <font>
      <sz val="8.0"/>
      <color theme="1"/>
      <name val="Nunito"/>
    </font>
    <font>
      <b/>
      <i/>
      <sz val="8.0"/>
      <color theme="1"/>
      <name val="Nunito"/>
    </font>
    <font>
      <b/>
      <sz val="8.0"/>
      <color theme="1"/>
      <name val="Nunito"/>
    </font>
  </fonts>
  <fills count="2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B2A3"/>
        <bgColor rgb="FF00B2A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B1DFCF"/>
        <bgColor rgb="FFB1DFCF"/>
      </patternFill>
    </fill>
    <fill>
      <patternFill patternType="solid">
        <fgColor rgb="FF5FCCBF"/>
        <bgColor rgb="FF5FCCBF"/>
      </patternFill>
    </fill>
    <fill>
      <patternFill patternType="solid">
        <fgColor rgb="FFB4A7D6"/>
        <bgColor rgb="FFB4A7D6"/>
      </patternFill>
    </fill>
    <fill>
      <patternFill patternType="solid">
        <fgColor rgb="FFFFFF90"/>
        <bgColor rgb="FFFFFF90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D8F1EC"/>
        <bgColor rgb="FFD8F1EC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F6ED"/>
        <bgColor rgb="FFFFF6ED"/>
      </patternFill>
    </fill>
    <fill>
      <patternFill patternType="solid">
        <fgColor rgb="FFF3F3F3"/>
        <bgColor rgb="FFF3F3F3"/>
      </patternFill>
    </fill>
    <fill>
      <patternFill patternType="solid">
        <fgColor rgb="FFCAC0E4"/>
        <bgColor rgb="FFCAC0E4"/>
      </patternFill>
    </fill>
    <fill>
      <patternFill patternType="solid">
        <fgColor rgb="FF003366"/>
        <bgColor rgb="FF003366"/>
      </patternFill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FFCCFF"/>
        <bgColor rgb="FFFFCCFF"/>
      </patternFill>
    </fill>
  </fills>
  <borders count="110">
    <border/>
    <border>
      <left/>
      <right/>
      <top/>
      <bottom/>
    </border>
    <border>
      <left/>
      <top/>
      <bottom style="thin">
        <color rgb="FF00B2A3"/>
      </bottom>
    </border>
    <border>
      <top/>
      <bottom style="thin">
        <color rgb="FF00B2A3"/>
      </bottom>
    </border>
    <border>
      <right/>
      <top/>
      <bottom style="thin">
        <color rgb="FF00B2A3"/>
      </bottom>
    </border>
    <border>
      <left/>
      <right/>
      <top/>
      <bottom style="thin">
        <color rgb="FF00B2A3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B2A3"/>
      </left>
      <top style="thin">
        <color rgb="FF00B2A3"/>
      </top>
    </border>
    <border>
      <top style="thin">
        <color rgb="FF00B2A3"/>
      </top>
    </border>
    <border>
      <right style="thin">
        <color rgb="FF00B2A3"/>
      </right>
      <top style="thin">
        <color rgb="FF00B2A3"/>
      </top>
    </border>
    <border>
      <left/>
      <right style="thick">
        <color rgb="FF000000"/>
      </right>
      <top/>
    </border>
    <border>
      <right style="thin">
        <color rgb="FF000000"/>
      </right>
    </border>
    <border>
      <left/>
      <top/>
    </border>
    <border>
      <top/>
    </border>
    <border>
      <right/>
      <top/>
    </border>
    <border>
      <left style="thin">
        <color rgb="FF000000"/>
      </left>
    </border>
    <border>
      <left/>
      <right/>
    </border>
    <border>
      <left style="thin">
        <color rgb="FF00B2A3"/>
      </left>
      <bottom/>
    </border>
    <border>
      <bottom/>
    </border>
    <border>
      <right style="thin">
        <color rgb="FF00B2A3"/>
      </right>
      <bottom/>
    </border>
    <border>
      <left/>
      <right style="thick">
        <color rgb="FF000000"/>
      </right>
    </border>
    <border>
      <left/>
    </border>
    <border>
      <right/>
    </border>
    <border>
      <left/>
      <bottom/>
    </border>
    <border>
      <right/>
      <bottom/>
    </border>
    <border>
      <left style="thin">
        <color rgb="FF00B2A3"/>
      </left>
      <top style="thin">
        <color rgb="FF00B2A3"/>
      </top>
      <bottom/>
    </border>
    <border>
      <top style="thin">
        <color rgb="FF00B2A3"/>
      </top>
      <bottom/>
    </border>
    <border>
      <right style="thin">
        <color rgb="FF00B2A3"/>
      </right>
      <top style="thin">
        <color rgb="FF00B2A3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B2A3"/>
      </left>
      <top/>
      <bottom/>
    </border>
    <border>
      <right style="thin">
        <color rgb="FF00B2A3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 style="medium">
        <color rgb="FF434343"/>
      </bottom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/>
      <right/>
      <top style="thin">
        <color rgb="FF000000"/>
      </top>
      <bottom/>
    </border>
    <border>
      <top style="medium">
        <color rgb="FF000000"/>
      </top>
    </border>
    <border>
      <left/>
      <right/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9D9D9"/>
      </left>
      <right/>
      <top/>
      <bottom/>
    </border>
    <border>
      <left style="thin">
        <color rgb="FFD9D9D9"/>
      </left>
      <right/>
      <top style="thin">
        <color rgb="FF000000"/>
      </top>
      <bottom/>
    </border>
    <border>
      <left style="thin">
        <color rgb="FFD9D9D9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/>
    </border>
    <border>
      <right style="thin">
        <color rgb="FFCCCCCC"/>
      </right>
      <top/>
      <bottom/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/>
      <right/>
      <bottom style="thick">
        <color rgb="FF000000"/>
      </bottom>
    </border>
    <border>
      <left/>
      <top style="medium">
        <color rgb="FF000000"/>
      </top>
    </border>
    <border>
      <right/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/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bottom/>
    </border>
    <border>
      <left/>
      <right style="thick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vertical="center"/>
    </xf>
    <xf borderId="3" fillId="0" fontId="2" numFmtId="0" xfId="0" applyBorder="1" applyFont="1"/>
    <xf borderId="4" fillId="0" fontId="2" numFmtId="0" xfId="0" applyBorder="1" applyFont="1"/>
    <xf borderId="1" fillId="4" fontId="3" numFmtId="0" xfId="0" applyAlignment="1" applyBorder="1" applyFill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1" fillId="3" fontId="3" numFmtId="0" xfId="0" applyAlignment="1" applyBorder="1" applyFont="1">
      <alignment horizontal="center"/>
    </xf>
    <xf borderId="6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10" fillId="3" fontId="4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9" fillId="3" fontId="3" numFmtId="0" xfId="0" applyAlignment="1" applyBorder="1" applyFont="1">
      <alignment horizontal="center"/>
    </xf>
    <xf borderId="13" fillId="4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5" fillId="5" fontId="5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8" fillId="0" fontId="1" numFmtId="0" xfId="0" applyAlignment="1" applyBorder="1" applyFont="1">
      <alignment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4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8" fillId="0" fontId="2" numFmtId="0" xfId="0" applyBorder="1" applyFont="1"/>
    <xf borderId="10" fillId="3" fontId="6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1" fillId="3" fontId="7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28" fillId="3" fontId="1" numFmtId="0" xfId="0" applyAlignment="1" applyBorder="1" applyFont="1">
      <alignment vertical="center"/>
    </xf>
    <xf borderId="29" fillId="0" fontId="2" numFmtId="0" xfId="0" applyBorder="1" applyFont="1"/>
    <xf borderId="30" fillId="0" fontId="2" numFmtId="0" xfId="0" applyBorder="1" applyFont="1"/>
    <xf borderId="31" fillId="6" fontId="8" numFmtId="0" xfId="0" applyAlignment="1" applyBorder="1" applyFill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4" fontId="1" numFmtId="0" xfId="0" applyAlignment="1" applyBorder="1" applyFont="1">
      <alignment vertical="center"/>
    </xf>
    <xf borderId="35" fillId="0" fontId="2" numFmtId="0" xfId="0" applyBorder="1" applyFont="1"/>
    <xf borderId="0" fillId="0" fontId="8" numFmtId="0" xfId="0" applyAlignment="1" applyFont="1">
      <alignment vertical="center"/>
    </xf>
    <xf borderId="36" fillId="3" fontId="9" numFmtId="0" xfId="0" applyAlignment="1" applyBorder="1" applyFont="1">
      <alignment horizontal="center" vertical="top"/>
    </xf>
    <xf borderId="37" fillId="0" fontId="2" numFmtId="0" xfId="0" applyBorder="1" applyFont="1"/>
    <xf borderId="38" fillId="0" fontId="7" numFmtId="0" xfId="0" applyAlignment="1" applyBorder="1" applyFont="1">
      <alignment vertical="center"/>
    </xf>
    <xf borderId="38" fillId="0" fontId="1" numFmtId="0" xfId="0" applyAlignment="1" applyBorder="1" applyFont="1">
      <alignment vertical="center"/>
    </xf>
    <xf borderId="38" fillId="0" fontId="7" numFmtId="0" xfId="0" applyAlignment="1" applyBorder="1" applyFont="1">
      <alignment horizontal="right" vertical="center"/>
    </xf>
    <xf borderId="38" fillId="0" fontId="1" numFmtId="164" xfId="0" applyAlignment="1" applyBorder="1" applyFont="1" applyNumberFormat="1">
      <alignment horizontal="center" vertical="center"/>
    </xf>
    <xf borderId="38" fillId="0" fontId="2" numFmtId="0" xfId="0" applyBorder="1" applyFont="1"/>
    <xf borderId="38" fillId="0" fontId="10" numFmtId="0" xfId="0" applyBorder="1" applyFont="1"/>
    <xf borderId="38" fillId="0" fontId="1" numFmtId="165" xfId="0" applyAlignment="1" applyBorder="1" applyFont="1" applyNumberFormat="1">
      <alignment horizontal="center" vertical="center"/>
    </xf>
    <xf borderId="0" fillId="0" fontId="11" numFmtId="0" xfId="0" applyFont="1"/>
    <xf borderId="39" fillId="0" fontId="1" numFmtId="0" xfId="0" applyAlignment="1" applyBorder="1" applyFont="1">
      <alignment vertical="center"/>
    </xf>
    <xf borderId="40" fillId="6" fontId="8" numFmtId="0" xfId="0" applyAlignment="1" applyBorder="1" applyFont="1">
      <alignment vertical="center"/>
    </xf>
    <xf borderId="40" fillId="6" fontId="7" numFmtId="0" xfId="0" applyAlignment="1" applyBorder="1" applyFont="1">
      <alignment vertical="center"/>
    </xf>
    <xf borderId="41" fillId="0" fontId="3" numFmtId="0" xfId="0" applyAlignment="1" applyBorder="1" applyFont="1">
      <alignment horizontal="center"/>
    </xf>
    <xf borderId="42" fillId="7" fontId="7" numFmtId="0" xfId="0" applyAlignment="1" applyBorder="1" applyFill="1" applyFont="1">
      <alignment vertical="center"/>
    </xf>
    <xf borderId="42" fillId="7" fontId="12" numFmtId="0" xfId="0" applyAlignment="1" applyBorder="1" applyFont="1">
      <alignment vertical="center"/>
    </xf>
    <xf borderId="42" fillId="7" fontId="12" numFmtId="9" xfId="0" applyAlignment="1" applyBorder="1" applyFont="1" applyNumberFormat="1">
      <alignment horizontal="right" vertical="center"/>
    </xf>
    <xf borderId="6" fillId="7" fontId="13" numFmtId="0" xfId="0" applyAlignment="1" applyBorder="1" applyFont="1">
      <alignment vertical="center"/>
    </xf>
    <xf borderId="18" fillId="0" fontId="10" numFmtId="0" xfId="0" applyBorder="1" applyFont="1"/>
    <xf borderId="6" fillId="8" fontId="8" numFmtId="0" xfId="0" applyAlignment="1" applyBorder="1" applyFill="1" applyFont="1">
      <alignment vertical="center"/>
    </xf>
    <xf borderId="0" fillId="0" fontId="1" numFmtId="0" xfId="0" applyAlignment="1" applyFont="1">
      <alignment horizontal="left" vertical="center"/>
    </xf>
    <xf borderId="1" fillId="9" fontId="1" numFmtId="0" xfId="0" applyAlignment="1" applyBorder="1" applyFill="1" applyFont="1">
      <alignment horizontal="center" readingOrder="0" vertical="center"/>
    </xf>
    <xf borderId="0" fillId="0" fontId="1" numFmtId="166" xfId="0" applyAlignment="1" applyFont="1" applyNumberFormat="1">
      <alignment readingOrder="0" vertical="center"/>
    </xf>
    <xf borderId="1" fillId="5" fontId="14" numFmtId="166" xfId="0" applyAlignment="1" applyBorder="1" applyFont="1" applyNumberFormat="1">
      <alignment vertical="center"/>
    </xf>
    <xf borderId="18" fillId="0" fontId="15" numFmtId="0" xfId="0" applyAlignment="1" applyBorder="1" applyFont="1">
      <alignment vertical="center"/>
    </xf>
    <xf borderId="0" fillId="0" fontId="15" numFmtId="167" xfId="0" applyAlignment="1" applyFont="1" applyNumberFormat="1">
      <alignment vertical="center"/>
    </xf>
    <xf borderId="31" fillId="5" fontId="10" numFmtId="0" xfId="0" applyBorder="1" applyFont="1"/>
    <xf borderId="1" fillId="9" fontId="1" numFmtId="0" xfId="0" applyAlignment="1" applyBorder="1" applyFont="1">
      <alignment horizontal="center" vertical="center"/>
    </xf>
    <xf borderId="38" fillId="0" fontId="14" numFmtId="10" xfId="0" applyAlignment="1" applyBorder="1" applyFont="1" applyNumberFormat="1">
      <alignment vertical="center"/>
    </xf>
    <xf borderId="15" fillId="5" fontId="15" numFmtId="0" xfId="0" applyAlignment="1" applyBorder="1" applyFont="1">
      <alignment vertical="center"/>
    </xf>
    <xf borderId="43" fillId="8" fontId="7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0" fillId="0" fontId="1" numFmtId="9" xfId="0" applyAlignment="1" applyFont="1" applyNumberFormat="1">
      <alignment vertical="center"/>
    </xf>
    <xf borderId="0" fillId="0" fontId="16" numFmtId="167" xfId="0" applyAlignment="1" applyFont="1" applyNumberFormat="1">
      <alignment vertical="center"/>
    </xf>
    <xf borderId="46" fillId="0" fontId="2" numFmtId="0" xfId="0" applyBorder="1" applyFont="1"/>
    <xf borderId="47" fillId="0" fontId="2" numFmtId="0" xfId="0" applyBorder="1" applyFont="1"/>
    <xf borderId="1" fillId="9" fontId="17" numFmtId="0" xfId="0" applyAlignment="1" applyBorder="1" applyFont="1">
      <alignment horizontal="center" readingOrder="0" vertical="center"/>
    </xf>
    <xf borderId="1" fillId="9" fontId="1" numFmtId="9" xfId="0" applyAlignment="1" applyBorder="1" applyFont="1" applyNumberFormat="1">
      <alignment readingOrder="0" vertical="center"/>
    </xf>
    <xf borderId="0" fillId="0" fontId="18" numFmtId="0" xfId="0" applyAlignment="1" applyFont="1">
      <alignment vertical="center"/>
    </xf>
    <xf borderId="18" fillId="0" fontId="19" numFmtId="0" xfId="0" applyAlignment="1" applyBorder="1" applyFont="1">
      <alignment horizontal="right" vertical="center"/>
    </xf>
    <xf borderId="0" fillId="0" fontId="16" numFmtId="0" xfId="0" applyAlignment="1" applyFont="1">
      <alignment vertical="center"/>
    </xf>
    <xf borderId="31" fillId="9" fontId="1" numFmtId="168" xfId="0" applyAlignment="1" applyBorder="1" applyFont="1" applyNumberFormat="1">
      <alignment vertical="center"/>
    </xf>
    <xf borderId="48" fillId="8" fontId="1" numFmtId="0" xfId="0" applyAlignment="1" applyBorder="1" applyFont="1">
      <alignment horizontal="right" vertical="center"/>
    </xf>
    <xf borderId="49" fillId="0" fontId="2" numFmtId="0" xfId="0" applyBorder="1" applyFont="1"/>
    <xf borderId="48" fillId="10" fontId="15" numFmtId="169" xfId="0" applyAlignment="1" applyBorder="1" applyFill="1" applyFont="1" applyNumberFormat="1">
      <alignment vertical="center"/>
    </xf>
    <xf borderId="50" fillId="0" fontId="1" numFmtId="0" xfId="0" applyAlignment="1" applyBorder="1" applyFont="1">
      <alignment vertical="center"/>
    </xf>
    <xf borderId="50" fillId="0" fontId="2" numFmtId="0" xfId="0" applyBorder="1" applyFont="1"/>
    <xf borderId="51" fillId="9" fontId="1" numFmtId="9" xfId="0" applyAlignment="1" applyBorder="1" applyFont="1" applyNumberFormat="1">
      <alignment vertical="center"/>
    </xf>
    <xf borderId="50" fillId="0" fontId="18" numFmtId="0" xfId="0" applyAlignment="1" applyBorder="1" applyFont="1">
      <alignment vertical="center"/>
    </xf>
    <xf borderId="31" fillId="9" fontId="1" numFmtId="3" xfId="0" applyAlignment="1" applyBorder="1" applyFont="1" applyNumberFormat="1">
      <alignment horizontal="right" vertical="center"/>
    </xf>
    <xf borderId="31" fillId="8" fontId="1" numFmtId="0" xfId="0" applyAlignment="1" applyBorder="1" applyFont="1">
      <alignment horizontal="right" vertical="center"/>
    </xf>
    <xf borderId="31" fillId="10" fontId="15" numFmtId="169" xfId="0" applyAlignment="1" applyBorder="1" applyFont="1" applyNumberFormat="1">
      <alignment vertical="center"/>
    </xf>
    <xf borderId="1" fillId="9" fontId="1" numFmtId="169" xfId="0" applyAlignment="1" applyBorder="1" applyFont="1" applyNumberFormat="1">
      <alignment horizontal="center" readingOrder="0" vertical="center"/>
    </xf>
    <xf borderId="0" fillId="0" fontId="1" numFmtId="167" xfId="0" applyAlignment="1" applyFont="1" applyNumberFormat="1">
      <alignment vertical="center"/>
    </xf>
    <xf borderId="6" fillId="8" fontId="1" numFmtId="0" xfId="0" applyAlignment="1" applyBorder="1" applyFont="1">
      <alignment horizontal="right" vertical="center"/>
    </xf>
    <xf borderId="6" fillId="10" fontId="15" numFmtId="169" xfId="0" applyAlignment="1" applyBorder="1" applyFont="1" applyNumberFormat="1">
      <alignment vertical="center"/>
    </xf>
    <xf borderId="52" fillId="6" fontId="7" numFmtId="0" xfId="0" applyAlignment="1" applyBorder="1" applyFont="1">
      <alignment horizontal="right" vertical="center"/>
    </xf>
    <xf borderId="6" fillId="6" fontId="7" numFmtId="167" xfId="0" applyAlignment="1" applyBorder="1" applyFont="1" applyNumberFormat="1">
      <alignment vertical="center"/>
    </xf>
    <xf borderId="53" fillId="0" fontId="2" numFmtId="0" xfId="0" applyBorder="1" applyFont="1"/>
    <xf borderId="43" fillId="6" fontId="7" numFmtId="0" xfId="0" applyAlignment="1" applyBorder="1" applyFont="1">
      <alignment horizontal="center" vertical="center"/>
    </xf>
    <xf borderId="1" fillId="11" fontId="15" numFmtId="168" xfId="0" applyAlignment="1" applyBorder="1" applyFill="1" applyFont="1" applyNumberFormat="1">
      <alignment horizontal="center" vertical="center"/>
    </xf>
    <xf borderId="15" fillId="6" fontId="8" numFmtId="0" xfId="0" applyAlignment="1" applyBorder="1" applyFont="1">
      <alignment horizontal="center" vertical="center"/>
    </xf>
    <xf borderId="0" fillId="0" fontId="20" numFmtId="0" xfId="0" applyFont="1"/>
    <xf borderId="54" fillId="0" fontId="2" numFmtId="0" xfId="0" applyBorder="1" applyFont="1"/>
    <xf borderId="55" fillId="0" fontId="2" numFmtId="0" xfId="0" applyBorder="1" applyFont="1"/>
    <xf borderId="31" fillId="6" fontId="1" numFmtId="0" xfId="0" applyAlignment="1" applyBorder="1" applyFont="1">
      <alignment horizontal="right" vertical="center"/>
    </xf>
    <xf borderId="48" fillId="12" fontId="1" numFmtId="168" xfId="0" applyAlignment="1" applyBorder="1" applyFill="1" applyFont="1" applyNumberFormat="1">
      <alignment vertical="center"/>
    </xf>
    <xf borderId="1" fillId="9" fontId="1" numFmtId="169" xfId="0" applyAlignment="1" applyBorder="1" applyFont="1" applyNumberFormat="1">
      <alignment horizontal="center" vertical="center"/>
    </xf>
    <xf borderId="0" fillId="0" fontId="17" numFmtId="10" xfId="0" applyAlignment="1" applyFont="1" applyNumberFormat="1">
      <alignment horizontal="center" vertical="center"/>
    </xf>
    <xf borderId="31" fillId="12" fontId="1" numFmtId="168" xfId="0" applyAlignment="1" applyBorder="1" applyFont="1" applyNumberFormat="1">
      <alignment vertical="center"/>
    </xf>
    <xf borderId="44" fillId="0" fontId="1" numFmtId="0" xfId="0" applyAlignment="1" applyBorder="1" applyFont="1">
      <alignment horizontal="left" vertical="center"/>
    </xf>
    <xf borderId="56" fillId="9" fontId="1" numFmtId="3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vertical="center"/>
    </xf>
    <xf borderId="1" fillId="9" fontId="1" numFmtId="168" xfId="0" applyAlignment="1" applyBorder="1" applyFont="1" applyNumberFormat="1">
      <alignment horizontal="center" vertical="center"/>
    </xf>
    <xf borderId="6" fillId="6" fontId="1" numFmtId="0" xfId="0" applyAlignment="1" applyBorder="1" applyFont="1">
      <alignment horizontal="right" vertical="center"/>
    </xf>
    <xf borderId="6" fillId="12" fontId="1" numFmtId="168" xfId="0" applyAlignment="1" applyBorder="1" applyFont="1" applyNumberFormat="1">
      <alignment vertical="center"/>
    </xf>
    <xf borderId="0" fillId="0" fontId="20" numFmtId="0" xfId="0" applyAlignment="1" applyFont="1">
      <alignment horizontal="left"/>
    </xf>
    <xf borderId="0" fillId="0" fontId="15" numFmtId="0" xfId="0" applyAlignment="1" applyFont="1">
      <alignment horizontal="center" vertical="center"/>
    </xf>
    <xf borderId="57" fillId="0" fontId="1" numFmtId="0" xfId="0" applyAlignment="1" applyBorder="1" applyFont="1">
      <alignment readingOrder="0" vertical="center"/>
    </xf>
    <xf borderId="57" fillId="0" fontId="1" numFmtId="0" xfId="0" applyAlignment="1" applyBorder="1" applyFont="1">
      <alignment vertical="center"/>
    </xf>
    <xf borderId="58" fillId="9" fontId="1" numFmtId="17" xfId="0" applyAlignment="1" applyBorder="1" applyFont="1" applyNumberFormat="1">
      <alignment horizontal="center" vertical="center"/>
    </xf>
    <xf borderId="58" fillId="9" fontId="1" numFmtId="166" xfId="0" applyAlignment="1" applyBorder="1" applyFont="1" applyNumberFormat="1">
      <alignment vertical="center"/>
    </xf>
    <xf borderId="57" fillId="0" fontId="1" numFmtId="0" xfId="0" applyAlignment="1" applyBorder="1" applyFont="1">
      <alignment horizontal="center" vertical="center"/>
    </xf>
    <xf borderId="0" fillId="0" fontId="20" numFmtId="10" xfId="0" applyAlignment="1" applyFont="1" applyNumberFormat="1">
      <alignment vertical="center"/>
    </xf>
    <xf borderId="31" fillId="9" fontId="1" numFmtId="167" xfId="0" applyAlignment="1" applyBorder="1" applyFont="1" applyNumberFormat="1">
      <alignment horizontal="right" vertical="center"/>
    </xf>
    <xf borderId="15" fillId="6" fontId="7" numFmtId="0" xfId="0" applyAlignment="1" applyBorder="1" applyFont="1">
      <alignment horizontal="center" vertical="center"/>
    </xf>
    <xf borderId="56" fillId="9" fontId="1" numFmtId="170" xfId="0" applyAlignment="1" applyBorder="1" applyFont="1" applyNumberFormat="1">
      <alignment horizontal="center" vertical="center"/>
    </xf>
    <xf borderId="1" fillId="9" fontId="1" numFmtId="10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51" fillId="6" fontId="7" numFmtId="0" xfId="0" applyAlignment="1" applyBorder="1" applyFont="1">
      <alignment vertical="center"/>
    </xf>
    <xf borderId="0" fillId="0" fontId="1" numFmtId="168" xfId="0" applyAlignment="1" applyFont="1" applyNumberFormat="1">
      <alignment horizontal="center" vertical="center"/>
    </xf>
    <xf borderId="31" fillId="9" fontId="1" numFmtId="167" xfId="0" applyAlignment="1" applyBorder="1" applyFont="1" applyNumberFormat="1">
      <alignment vertical="center"/>
    </xf>
    <xf borderId="38" fillId="0" fontId="1" numFmtId="0" xfId="0" applyAlignment="1" applyBorder="1" applyFont="1">
      <alignment horizontal="left" vertical="center"/>
    </xf>
    <xf borderId="42" fillId="9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vertical="center"/>
    </xf>
    <xf borderId="59" fillId="0" fontId="1" numFmtId="17" xfId="0" applyAlignment="1" applyBorder="1" applyFont="1" applyNumberFormat="1">
      <alignment horizontal="center" vertical="center"/>
    </xf>
    <xf borderId="60" fillId="9" fontId="1" numFmtId="166" xfId="0" applyAlignment="1" applyBorder="1" applyFont="1" applyNumberFormat="1">
      <alignment vertical="center"/>
    </xf>
    <xf borderId="61" fillId="0" fontId="1" numFmtId="0" xfId="0" applyAlignment="1" applyBorder="1" applyFont="1">
      <alignment horizontal="center" vertical="center"/>
    </xf>
    <xf borderId="0" fillId="0" fontId="20" numFmtId="0" xfId="0" applyAlignment="1" applyFont="1">
      <alignment horizontal="left" vertical="center"/>
    </xf>
    <xf borderId="61" fillId="0" fontId="1" numFmtId="0" xfId="0" applyAlignment="1" applyBorder="1" applyFont="1">
      <alignment vertical="center"/>
    </xf>
    <xf borderId="61" fillId="0" fontId="1" numFmtId="17" xfId="0" applyAlignment="1" applyBorder="1" applyFont="1" applyNumberFormat="1">
      <alignment horizontal="center" vertical="center"/>
    </xf>
    <xf borderId="61" fillId="0" fontId="1" numFmtId="166" xfId="0" applyAlignment="1" applyBorder="1" applyFont="1" applyNumberFormat="1">
      <alignment horizontal="right" vertical="center"/>
    </xf>
    <xf borderId="34" fillId="6" fontId="21" numFmtId="0" xfId="0" applyAlignment="1" applyBorder="1" applyFont="1">
      <alignment horizontal="right" vertical="center"/>
    </xf>
    <xf borderId="31" fillId="6" fontId="7" numFmtId="167" xfId="0" applyAlignment="1" applyBorder="1" applyFont="1" applyNumberFormat="1">
      <alignment vertical="center"/>
    </xf>
    <xf borderId="1" fillId="9" fontId="1" numFmtId="9" xfId="0" applyAlignment="1" applyBorder="1" applyFont="1" applyNumberFormat="1">
      <alignment horizontal="center" readingOrder="0" vertical="center"/>
    </xf>
    <xf borderId="62" fillId="9" fontId="1" numFmtId="166" xfId="0" applyAlignment="1" applyBorder="1" applyFont="1" applyNumberFormat="1">
      <alignment vertical="center"/>
    </xf>
    <xf borderId="48" fillId="9" fontId="1" numFmtId="167" xfId="0" applyAlignment="1" applyBorder="1" applyFont="1" applyNumberFormat="1">
      <alignment readingOrder="0" vertical="center"/>
    </xf>
    <xf borderId="63" fillId="0" fontId="2" numFmtId="0" xfId="0" applyBorder="1" applyFont="1"/>
    <xf borderId="31" fillId="6" fontId="7" numFmtId="0" xfId="0" applyAlignment="1" applyBorder="1" applyFont="1">
      <alignment horizontal="center" vertical="center"/>
    </xf>
    <xf borderId="18" fillId="0" fontId="17" numFmtId="0" xfId="0" applyAlignment="1" applyBorder="1" applyFont="1">
      <alignment vertical="center"/>
    </xf>
    <xf borderId="15" fillId="12" fontId="13" numFmtId="0" xfId="0" applyAlignment="1" applyBorder="1" applyFont="1">
      <alignment horizontal="center" vertical="center"/>
    </xf>
    <xf borderId="1" fillId="9" fontId="15" numFmtId="10" xfId="0" applyAlignment="1" applyBorder="1" applyFont="1" applyNumberFormat="1">
      <alignment horizontal="center" readingOrder="0" vertical="center"/>
    </xf>
    <xf borderId="52" fillId="6" fontId="21" numFmtId="0" xfId="0" applyAlignment="1" applyBorder="1" applyFont="1">
      <alignment horizontal="right" vertical="center"/>
    </xf>
    <xf borderId="42" fillId="9" fontId="15" numFmtId="3" xfId="0" applyAlignment="1" applyBorder="1" applyFont="1" applyNumberFormat="1">
      <alignment horizontal="center" vertical="center"/>
    </xf>
    <xf borderId="44" fillId="0" fontId="10" numFmtId="0" xfId="0" applyBorder="1" applyFont="1"/>
    <xf borderId="0" fillId="0" fontId="15" numFmtId="3" xfId="0" applyAlignment="1" applyFont="1" applyNumberFormat="1">
      <alignment horizontal="center" vertical="center"/>
    </xf>
    <xf borderId="51" fillId="6" fontId="1" numFmtId="0" xfId="0" applyAlignment="1" applyBorder="1" applyFont="1">
      <alignment horizontal="center" vertical="center"/>
    </xf>
    <xf borderId="6" fillId="7" fontId="8" numFmtId="0" xfId="0" applyAlignment="1" applyBorder="1" applyFont="1">
      <alignment vertical="center"/>
    </xf>
    <xf borderId="6" fillId="13" fontId="8" numFmtId="0" xfId="0" applyAlignment="1" applyBorder="1" applyFill="1" applyFont="1">
      <alignment vertical="center"/>
    </xf>
    <xf quotePrefix="1" borderId="38" fillId="0" fontId="1" numFmtId="0" xfId="0" applyAlignment="1" applyBorder="1" applyFont="1">
      <alignment horizontal="left" vertical="center"/>
    </xf>
    <xf borderId="42" fillId="11" fontId="1" numFmtId="169" xfId="0" applyAlignment="1" applyBorder="1" applyFont="1" applyNumberFormat="1">
      <alignment horizontal="center" vertical="center"/>
    </xf>
    <xf borderId="43" fillId="7" fontId="7" numFmtId="0" xfId="0" applyAlignment="1" applyBorder="1" applyFont="1">
      <alignment horizontal="right" vertical="center"/>
    </xf>
    <xf borderId="43" fillId="7" fontId="7" numFmtId="167" xfId="0" applyAlignment="1" applyBorder="1" applyFont="1" applyNumberFormat="1">
      <alignment vertical="center"/>
    </xf>
    <xf borderId="0" fillId="0" fontId="15" numFmtId="0" xfId="0" applyAlignment="1" applyFont="1">
      <alignment horizontal="left"/>
    </xf>
    <xf borderId="1" fillId="9" fontId="15" numFmtId="169" xfId="0" applyAlignment="1" applyBorder="1" applyFont="1" applyNumberFormat="1">
      <alignment horizontal="center" readingOrder="0" vertical="center"/>
    </xf>
    <xf borderId="1" fillId="11" fontId="15" numFmtId="169" xfId="0" applyAlignment="1" applyBorder="1" applyFont="1" applyNumberFormat="1">
      <alignment horizontal="center" vertical="center"/>
    </xf>
    <xf borderId="51" fillId="6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38" fillId="0" fontId="1" numFmtId="171" xfId="0" applyAlignment="1" applyBorder="1" applyFont="1" applyNumberFormat="1">
      <alignment horizontal="center" vertical="center"/>
    </xf>
    <xf borderId="42" fillId="5" fontId="1" numFmtId="166" xfId="0" applyAlignment="1" applyBorder="1" applyFont="1" applyNumberFormat="1">
      <alignment vertical="center"/>
    </xf>
    <xf borderId="64" fillId="14" fontId="13" numFmtId="0" xfId="0" applyAlignment="1" applyBorder="1" applyFill="1" applyFont="1">
      <alignment vertical="center"/>
    </xf>
    <xf borderId="61" fillId="0" fontId="2" numFmtId="0" xfId="0" applyBorder="1" applyFont="1"/>
    <xf borderId="65" fillId="0" fontId="2" numFmtId="0" xfId="0" applyBorder="1" applyFont="1"/>
    <xf borderId="42" fillId="9" fontId="1" numFmtId="169" xfId="0" applyAlignment="1" applyBorder="1" applyFont="1" applyNumberFormat="1">
      <alignment horizontal="center" readingOrder="0" vertical="center"/>
    </xf>
    <xf borderId="61" fillId="0" fontId="22" numFmtId="0" xfId="0" applyAlignment="1" applyBorder="1" applyFont="1">
      <alignment vertical="center"/>
    </xf>
    <xf borderId="61" fillId="0" fontId="1" numFmtId="171" xfId="0" applyAlignment="1" applyBorder="1" applyFont="1" applyNumberFormat="1">
      <alignment horizontal="center" vertical="center"/>
    </xf>
    <xf borderId="62" fillId="9" fontId="1" numFmtId="166" xfId="0" applyAlignment="1" applyBorder="1" applyFont="1" applyNumberFormat="1">
      <alignment horizontal="right" vertical="center"/>
    </xf>
    <xf borderId="6" fillId="15" fontId="23" numFmtId="0" xfId="0" applyAlignment="1" applyBorder="1" applyFill="1" applyFont="1">
      <alignment vertical="center"/>
    </xf>
    <xf borderId="0" fillId="0" fontId="15" numFmtId="0" xfId="0" applyAlignment="1" applyFont="1">
      <alignment vertical="center"/>
    </xf>
    <xf borderId="1" fillId="11" fontId="15" numFmtId="172" xfId="0" applyAlignment="1" applyBorder="1" applyFont="1" applyNumberFormat="1">
      <alignment horizontal="center" vertical="center"/>
    </xf>
    <xf borderId="61" fillId="0" fontId="1" numFmtId="166" xfId="0" applyAlignment="1" applyBorder="1" applyFont="1" applyNumberFormat="1">
      <alignment vertical="center"/>
    </xf>
    <xf borderId="62" fillId="16" fontId="1" numFmtId="0" xfId="0" applyAlignment="1" applyBorder="1" applyFill="1" applyFont="1">
      <alignment horizontal="center" vertical="center"/>
    </xf>
    <xf borderId="44" fillId="0" fontId="24" numFmtId="0" xfId="0" applyAlignment="1" applyBorder="1" applyFont="1">
      <alignment vertical="center"/>
    </xf>
    <xf borderId="56" fillId="9" fontId="24" numFmtId="168" xfId="0" applyAlignment="1" applyBorder="1" applyFont="1" applyNumberFormat="1">
      <alignment vertical="center"/>
    </xf>
    <xf borderId="56" fillId="11" fontId="24" numFmtId="10" xfId="0" applyAlignment="1" applyBorder="1" applyFont="1" applyNumberFormat="1">
      <alignment horizontal="center" vertical="center"/>
    </xf>
    <xf borderId="38" fillId="0" fontId="24" numFmtId="0" xfId="0" applyAlignment="1" applyBorder="1" applyFont="1">
      <alignment vertical="center"/>
    </xf>
    <xf borderId="42" fillId="9" fontId="24" numFmtId="168" xfId="0" applyAlignment="1" applyBorder="1" applyFont="1" applyNumberFormat="1">
      <alignment readingOrder="0" vertical="center"/>
    </xf>
    <xf borderId="42" fillId="11" fontId="24" numFmtId="10" xfId="0" applyAlignment="1" applyBorder="1" applyFont="1" applyNumberFormat="1">
      <alignment horizontal="center" vertical="center"/>
    </xf>
    <xf borderId="66" fillId="0" fontId="2" numFmtId="0" xfId="0" applyBorder="1" applyFont="1"/>
    <xf borderId="67" fillId="0" fontId="2" numFmtId="0" xfId="0" applyBorder="1" applyFont="1"/>
    <xf borderId="31" fillId="15" fontId="23" numFmtId="0" xfId="0" applyAlignment="1" applyBorder="1" applyFont="1">
      <alignment vertical="center"/>
    </xf>
    <xf borderId="15" fillId="3" fontId="1" numFmtId="0" xfId="0" applyAlignment="1" applyBorder="1" applyFont="1">
      <alignment vertical="center"/>
    </xf>
    <xf borderId="44" fillId="0" fontId="25" numFmtId="0" xfId="0" applyAlignment="1" applyBorder="1" applyFont="1">
      <alignment horizontal="right" vertical="center"/>
    </xf>
    <xf borderId="56" fillId="9" fontId="26" numFmtId="168" xfId="0" applyAlignment="1" applyBorder="1" applyFont="1" applyNumberFormat="1">
      <alignment horizontal="right" vertical="center"/>
    </xf>
    <xf borderId="44" fillId="0" fontId="26" numFmtId="0" xfId="0" applyAlignment="1" applyBorder="1" applyFont="1">
      <alignment horizontal="right" vertical="center"/>
    </xf>
    <xf borderId="0" fillId="0" fontId="25" numFmtId="0" xfId="0" applyAlignment="1" applyFont="1">
      <alignment horizontal="right" vertical="center"/>
    </xf>
    <xf borderId="1" fillId="9" fontId="26" numFmtId="168" xfId="0" applyAlignment="1" applyBorder="1" applyFont="1" applyNumberFormat="1">
      <alignment horizontal="right" vertical="center"/>
    </xf>
    <xf borderId="0" fillId="0" fontId="26" numFmtId="0" xfId="0" applyAlignment="1" applyFont="1">
      <alignment horizontal="right" vertical="center"/>
    </xf>
    <xf borderId="6" fillId="6" fontId="13" numFmtId="0" xfId="0" applyAlignment="1" applyBorder="1" applyFont="1">
      <alignment horizontal="left" vertical="center"/>
    </xf>
    <xf borderId="6" fillId="6" fontId="27" numFmtId="0" xfId="0" applyAlignment="1" applyBorder="1" applyFont="1">
      <alignment horizontal="left" vertical="center"/>
    </xf>
    <xf borderId="6" fillId="13" fontId="27" numFmtId="0" xfId="0" applyAlignment="1" applyBorder="1" applyFont="1">
      <alignment vertical="center"/>
    </xf>
    <xf borderId="1" fillId="6" fontId="1" numFmtId="0" xfId="0" applyAlignment="1" applyBorder="1" applyFont="1">
      <alignment horizontal="left" shrinkToFit="0" vertical="center" wrapText="1"/>
    </xf>
    <xf borderId="1" fillId="12" fontId="1" numFmtId="168" xfId="0" applyAlignment="1" applyBorder="1" applyFont="1" applyNumberFormat="1">
      <alignment horizontal="right" vertical="center"/>
    </xf>
    <xf borderId="68" fillId="6" fontId="15" numFmtId="0" xfId="0" applyAlignment="1" applyBorder="1" applyFont="1">
      <alignment horizontal="left" vertical="center"/>
    </xf>
    <xf borderId="1" fillId="6" fontId="10" numFmtId="0" xfId="0" applyBorder="1" applyFont="1"/>
    <xf borderId="31" fillId="6" fontId="15" numFmtId="0" xfId="0" applyAlignment="1" applyBorder="1" applyFont="1">
      <alignment horizontal="left" vertical="center"/>
    </xf>
    <xf borderId="31" fillId="12" fontId="1" numFmtId="169" xfId="0" applyAlignment="1" applyBorder="1" applyFont="1" applyNumberFormat="1">
      <alignment horizontal="right" vertical="center"/>
    </xf>
    <xf borderId="48" fillId="13" fontId="1" numFmtId="0" xfId="0" applyAlignment="1" applyBorder="1" applyFont="1">
      <alignment horizontal="left" shrinkToFit="0" vertical="center" wrapText="1"/>
    </xf>
    <xf borderId="56" fillId="17" fontId="1" numFmtId="169" xfId="0" applyAlignment="1" applyBorder="1" applyFill="1" applyFont="1" applyNumberFormat="1">
      <alignment horizontal="right" vertical="center"/>
    </xf>
    <xf borderId="69" fillId="13" fontId="15" numFmtId="0" xfId="0" applyAlignment="1" applyBorder="1" applyFont="1">
      <alignment horizontal="left" vertical="center"/>
    </xf>
    <xf borderId="48" fillId="13" fontId="15" numFmtId="0" xfId="0" applyAlignment="1" applyBorder="1" applyFont="1">
      <alignment horizontal="left" vertical="center"/>
    </xf>
    <xf borderId="31" fillId="17" fontId="1" numFmtId="169" xfId="0" applyAlignment="1" applyBorder="1" applyFont="1" applyNumberFormat="1">
      <alignment horizontal="right" vertical="center"/>
    </xf>
    <xf borderId="1" fillId="12" fontId="15" numFmtId="168" xfId="0" applyAlignment="1" applyBorder="1" applyFont="1" applyNumberFormat="1">
      <alignment horizontal="right" vertical="center"/>
    </xf>
    <xf borderId="31" fillId="13" fontId="1" numFmtId="0" xfId="0" applyAlignment="1" applyBorder="1" applyFont="1">
      <alignment horizontal="left" shrinkToFit="0" vertical="center" wrapText="1"/>
    </xf>
    <xf borderId="1" fillId="17" fontId="15" numFmtId="169" xfId="0" applyAlignment="1" applyBorder="1" applyFont="1" applyNumberFormat="1">
      <alignment horizontal="right" vertical="center"/>
    </xf>
    <xf borderId="68" fillId="13" fontId="15" numFmtId="0" xfId="0" applyAlignment="1" applyBorder="1" applyFont="1">
      <alignment horizontal="left" vertical="center"/>
    </xf>
    <xf borderId="1" fillId="17" fontId="1" numFmtId="169" xfId="0" applyAlignment="1" applyBorder="1" applyFont="1" applyNumberFormat="1">
      <alignment horizontal="right" vertical="center"/>
    </xf>
    <xf borderId="31" fillId="13" fontId="15" numFmtId="0" xfId="0" applyAlignment="1" applyBorder="1" applyFont="1">
      <alignment horizontal="left" vertical="center"/>
    </xf>
    <xf borderId="42" fillId="9" fontId="1" numFmtId="17" xfId="0" applyAlignment="1" applyBorder="1" applyFont="1" applyNumberFormat="1">
      <alignment horizontal="center" vertical="center"/>
    </xf>
    <xf borderId="38" fillId="0" fontId="26" numFmtId="0" xfId="0" applyAlignment="1" applyBorder="1" applyFont="1">
      <alignment horizontal="right" vertical="center"/>
    </xf>
    <xf borderId="42" fillId="9" fontId="26" numFmtId="168" xfId="0" applyAlignment="1" applyBorder="1" applyFont="1" applyNumberFormat="1">
      <alignment horizontal="right" vertical="center"/>
    </xf>
    <xf borderId="42" fillId="6" fontId="1" numFmtId="0" xfId="0" applyAlignment="1" applyBorder="1" applyFont="1">
      <alignment horizontal="left" shrinkToFit="0" vertical="center" wrapText="1"/>
    </xf>
    <xf borderId="42" fillId="12" fontId="15" numFmtId="168" xfId="0" applyAlignment="1" applyBorder="1" applyFont="1" applyNumberFormat="1">
      <alignment horizontal="right" vertical="center"/>
    </xf>
    <xf borderId="70" fillId="6" fontId="15" numFmtId="0" xfId="0" applyAlignment="1" applyBorder="1" applyFont="1">
      <alignment horizontal="left" vertical="center"/>
    </xf>
    <xf borderId="42" fillId="6" fontId="10" numFmtId="0" xfId="0" applyBorder="1" applyFont="1"/>
    <xf borderId="42" fillId="12" fontId="1" numFmtId="168" xfId="0" applyAlignment="1" applyBorder="1" applyFont="1" applyNumberFormat="1">
      <alignment horizontal="right" vertical="center"/>
    </xf>
    <xf borderId="6" fillId="13" fontId="1" numFmtId="0" xfId="0" applyAlignment="1" applyBorder="1" applyFont="1">
      <alignment horizontal="left" shrinkToFit="0" vertical="center" wrapText="1"/>
    </xf>
    <xf borderId="42" fillId="17" fontId="15" numFmtId="169" xfId="0" applyAlignment="1" applyBorder="1" applyFont="1" applyNumberFormat="1">
      <alignment horizontal="right" vertical="center"/>
    </xf>
    <xf borderId="70" fillId="13" fontId="15" numFmtId="0" xfId="0" applyAlignment="1" applyBorder="1" applyFont="1">
      <alignment horizontal="left" vertical="center"/>
    </xf>
    <xf borderId="42" fillId="17" fontId="1" numFmtId="169" xfId="0" applyAlignment="1" applyBorder="1" applyFont="1" applyNumberFormat="1">
      <alignment horizontal="right" vertical="center"/>
    </xf>
    <xf borderId="6" fillId="13" fontId="15" numFmtId="0" xfId="0" applyAlignment="1" applyBorder="1" applyFont="1">
      <alignment horizontal="left" vertical="center"/>
    </xf>
    <xf borderId="6" fillId="17" fontId="1" numFmtId="169" xfId="0" applyAlignment="1" applyBorder="1" applyFont="1" applyNumberFormat="1">
      <alignment horizontal="right" vertical="center"/>
    </xf>
    <xf borderId="6" fillId="7" fontId="1" numFmtId="0" xfId="0" applyAlignment="1" applyBorder="1" applyFont="1">
      <alignment vertical="center"/>
    </xf>
    <xf borderId="6" fillId="7" fontId="28" numFmtId="0" xfId="0" applyAlignment="1" applyBorder="1" applyFont="1">
      <alignment horizontal="center" vertical="center"/>
    </xf>
    <xf borderId="6" fillId="7" fontId="28" numFmtId="0" xfId="0" applyAlignment="1" applyBorder="1" applyFont="1">
      <alignment horizontal="right" vertical="center"/>
    </xf>
    <xf borderId="71" fillId="6" fontId="10" numFmtId="0" xfId="0" applyBorder="1" applyFont="1"/>
    <xf borderId="44" fillId="0" fontId="1" numFmtId="0" xfId="0" applyAlignment="1" applyBorder="1" applyFont="1">
      <alignment vertical="center"/>
    </xf>
    <xf borderId="48" fillId="11" fontId="15" numFmtId="169" xfId="0" applyAlignment="1" applyBorder="1" applyFont="1" applyNumberFormat="1">
      <alignment horizontal="center" vertical="center"/>
    </xf>
    <xf borderId="44" fillId="0" fontId="15" numFmtId="169" xfId="0" applyAlignment="1" applyBorder="1" applyFont="1" applyNumberFormat="1">
      <alignment vertical="center"/>
    </xf>
    <xf borderId="48" fillId="12" fontId="15" numFmtId="169" xfId="0" applyAlignment="1" applyBorder="1" applyFont="1" applyNumberFormat="1">
      <alignment vertical="center"/>
    </xf>
    <xf borderId="72" fillId="0" fontId="2" numFmtId="0" xfId="0" applyBorder="1" applyFont="1"/>
    <xf borderId="71" fillId="18" fontId="10" numFmtId="0" xfId="0" applyBorder="1" applyFill="1" applyFont="1"/>
    <xf borderId="31" fillId="11" fontId="15" numFmtId="169" xfId="0" applyAlignment="1" applyBorder="1" applyFont="1" applyNumberFormat="1">
      <alignment horizontal="center" vertical="center"/>
    </xf>
    <xf borderId="0" fillId="0" fontId="15" numFmtId="169" xfId="0" applyAlignment="1" applyFont="1" applyNumberFormat="1">
      <alignment vertical="center"/>
    </xf>
    <xf borderId="31" fillId="12" fontId="15" numFmtId="169" xfId="0" applyAlignment="1" applyBorder="1" applyFont="1" applyNumberFormat="1">
      <alignment vertical="center"/>
    </xf>
    <xf borderId="71" fillId="13" fontId="10" numFmtId="0" xfId="0" applyBorder="1" applyFont="1"/>
    <xf borderId="51" fillId="7" fontId="7" numFmtId="0" xfId="0" applyAlignment="1" applyBorder="1" applyFont="1">
      <alignment vertical="center"/>
    </xf>
    <xf borderId="51" fillId="7" fontId="1" numFmtId="0" xfId="0" applyAlignment="1" applyBorder="1" applyFont="1">
      <alignment vertical="center"/>
    </xf>
    <xf borderId="31" fillId="19" fontId="17" numFmtId="0" xfId="0" applyAlignment="1" applyBorder="1" applyFill="1" applyFont="1">
      <alignment vertical="center"/>
    </xf>
    <xf borderId="31" fillId="11" fontId="17" numFmtId="10" xfId="0" applyAlignment="1" applyBorder="1" applyFont="1" applyNumberFormat="1">
      <alignment horizontal="center" vertical="center"/>
    </xf>
    <xf borderId="73" fillId="0" fontId="2" numFmtId="0" xfId="0" applyBorder="1" applyFont="1"/>
    <xf borderId="31" fillId="19" fontId="29" numFmtId="10" xfId="0" applyAlignment="1" applyBorder="1" applyFont="1" applyNumberFormat="1">
      <alignment vertical="center"/>
    </xf>
    <xf borderId="31" fillId="19" fontId="29" numFmtId="10" xfId="0" applyAlignment="1" applyBorder="1" applyFont="1" applyNumberFormat="1">
      <alignment readingOrder="0" vertical="center"/>
    </xf>
    <xf borderId="31" fillId="12" fontId="29" numFmtId="10" xfId="0" applyAlignment="1" applyBorder="1" applyFont="1" applyNumberFormat="1">
      <alignment vertical="center"/>
    </xf>
    <xf borderId="38" fillId="0" fontId="7" numFmtId="172" xfId="0" applyAlignment="1" applyBorder="1" applyFont="1" applyNumberFormat="1">
      <alignment vertical="center"/>
    </xf>
    <xf borderId="38" fillId="0" fontId="1" numFmtId="172" xfId="0" applyAlignment="1" applyBorder="1" applyFont="1" applyNumberFormat="1">
      <alignment vertical="center"/>
    </xf>
    <xf borderId="38" fillId="0" fontId="7" numFmtId="173" xfId="0" applyAlignment="1" applyBorder="1" applyFont="1" applyNumberFormat="1">
      <alignment horizontal="left" vertical="center"/>
    </xf>
    <xf borderId="38" fillId="0" fontId="1" numFmtId="172" xfId="0" applyAlignment="1" applyBorder="1" applyFont="1" applyNumberFormat="1">
      <alignment horizontal="center" vertical="center"/>
    </xf>
    <xf borderId="31" fillId="11" fontId="1" numFmtId="169" xfId="0" applyAlignment="1" applyBorder="1" applyFont="1" applyNumberFormat="1">
      <alignment horizontal="center" vertical="center"/>
    </xf>
    <xf borderId="62" fillId="20" fontId="7" numFmtId="172" xfId="0" applyAlignment="1" applyBorder="1" applyFill="1" applyFont="1" applyNumberFormat="1">
      <alignment vertical="center"/>
    </xf>
    <xf borderId="42" fillId="20" fontId="1" numFmtId="172" xfId="0" applyAlignment="1" applyBorder="1" applyFont="1" applyNumberFormat="1">
      <alignment vertical="center"/>
    </xf>
    <xf borderId="62" fillId="20" fontId="7" numFmtId="173" xfId="0" applyAlignment="1" applyBorder="1" applyFont="1" applyNumberFormat="1">
      <alignment horizontal="left" vertical="center"/>
    </xf>
    <xf borderId="62" fillId="20" fontId="1" numFmtId="172" xfId="0" applyAlignment="1" applyBorder="1" applyFont="1" applyNumberFormat="1">
      <alignment horizontal="center" vertical="center"/>
    </xf>
    <xf borderId="0" fillId="0" fontId="15" numFmtId="168" xfId="0" applyAlignment="1" applyFont="1" applyNumberFormat="1">
      <alignment vertical="center"/>
    </xf>
    <xf borderId="31" fillId="12" fontId="15" numFmtId="168" xfId="0" applyAlignment="1" applyBorder="1" applyFont="1" applyNumberFormat="1">
      <alignment vertical="center"/>
    </xf>
    <xf borderId="61" fillId="0" fontId="7" numFmtId="172" xfId="0" applyAlignment="1" applyBorder="1" applyFont="1" applyNumberFormat="1">
      <alignment vertical="center"/>
    </xf>
    <xf borderId="61" fillId="0" fontId="7" numFmtId="173" xfId="0" applyAlignment="1" applyBorder="1" applyFont="1" applyNumberFormat="1">
      <alignment horizontal="left" vertical="center"/>
    </xf>
    <xf borderId="61" fillId="0" fontId="1" numFmtId="172" xfId="0" applyAlignment="1" applyBorder="1" applyFont="1" applyNumberFormat="1">
      <alignment horizontal="center" vertical="center"/>
    </xf>
    <xf borderId="31" fillId="11" fontId="1" numFmtId="10" xfId="0" applyAlignment="1" applyBorder="1" applyFont="1" applyNumberFormat="1">
      <alignment horizontal="center" vertical="center"/>
    </xf>
    <xf borderId="74" fillId="0" fontId="7" numFmtId="172" xfId="0" applyAlignment="1" applyBorder="1" applyFont="1" applyNumberFormat="1">
      <alignment vertical="center"/>
    </xf>
    <xf borderId="50" fillId="0" fontId="1" numFmtId="172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75" fillId="20" fontId="7" numFmtId="173" xfId="0" applyAlignment="1" applyBorder="1" applyFont="1" applyNumberFormat="1">
      <alignment horizontal="left" vertical="center"/>
    </xf>
    <xf borderId="75" fillId="20" fontId="1" numFmtId="172" xfId="0" applyAlignment="1" applyBorder="1" applyFont="1" applyNumberFormat="1">
      <alignment horizontal="center" vertical="center"/>
    </xf>
    <xf borderId="31" fillId="12" fontId="1" numFmtId="0" xfId="0" applyAlignment="1" applyBorder="1" applyFont="1">
      <alignment vertical="center"/>
    </xf>
    <xf borderId="31" fillId="12" fontId="15" numFmtId="169" xfId="0" applyAlignment="1" applyBorder="1" applyFont="1" applyNumberFormat="1">
      <alignment horizontal="center" vertical="center"/>
    </xf>
    <xf borderId="31" fillId="6" fontId="1" numFmtId="0" xfId="0" applyAlignment="1" applyBorder="1" applyFont="1">
      <alignment vertical="center"/>
    </xf>
    <xf borderId="31" fillId="6" fontId="15" numFmtId="169" xfId="0" applyAlignment="1" applyBorder="1" applyFont="1" applyNumberFormat="1">
      <alignment horizontal="center" vertical="center"/>
    </xf>
    <xf borderId="31" fillId="6" fontId="15" numFmtId="169" xfId="0" applyAlignment="1" applyBorder="1" applyFont="1" applyNumberFormat="1">
      <alignment vertical="center"/>
    </xf>
    <xf borderId="15" fillId="7" fontId="7" numFmtId="172" xfId="0" applyAlignment="1" applyBorder="1" applyFont="1" applyNumberFormat="1">
      <alignment vertical="center"/>
    </xf>
    <xf borderId="9" fillId="7" fontId="7" numFmtId="0" xfId="0" applyAlignment="1" applyBorder="1" applyFont="1">
      <alignment vertical="center"/>
    </xf>
    <xf borderId="9" fillId="7" fontId="13" numFmtId="172" xfId="0" applyAlignment="1" applyBorder="1" applyFont="1" applyNumberFormat="1">
      <alignment vertical="center"/>
    </xf>
    <xf borderId="15" fillId="3" fontId="10" numFmtId="0" xfId="0" applyBorder="1" applyFont="1"/>
    <xf borderId="76" fillId="0" fontId="2" numFmtId="0" xfId="0" applyBorder="1" applyFont="1"/>
    <xf borderId="9" fillId="6" fontId="7" numFmtId="0" xfId="0" applyAlignment="1" applyBorder="1" applyFont="1">
      <alignment vertical="center"/>
    </xf>
    <xf borderId="9" fillId="6" fontId="13" numFmtId="172" xfId="0" applyAlignment="1" applyBorder="1" applyFont="1" applyNumberFormat="1">
      <alignment vertical="center"/>
    </xf>
    <xf borderId="77" fillId="20" fontId="7" numFmtId="172" xfId="0" applyAlignment="1" applyBorder="1" applyFont="1" applyNumberFormat="1">
      <alignment vertical="center"/>
    </xf>
    <xf borderId="77" fillId="20" fontId="1" numFmtId="172" xfId="0" applyAlignment="1" applyBorder="1" applyFont="1" applyNumberFormat="1">
      <alignment vertical="center"/>
    </xf>
    <xf borderId="78" fillId="0" fontId="2" numFmtId="0" xfId="0" applyBorder="1" applyFont="1"/>
    <xf borderId="31" fillId="17" fontId="1" numFmtId="0" xfId="0" applyAlignment="1" applyBorder="1" applyFont="1">
      <alignment vertical="center"/>
    </xf>
    <xf borderId="31" fillId="17" fontId="15" numFmtId="169" xfId="0" applyAlignment="1" applyBorder="1" applyFont="1" applyNumberFormat="1">
      <alignment horizontal="center" vertical="center"/>
    </xf>
    <xf borderId="31" fillId="17" fontId="15" numFmtId="169" xfId="0" applyAlignment="1" applyBorder="1" applyFont="1" applyNumberFormat="1">
      <alignment vertical="center"/>
    </xf>
    <xf borderId="31" fillId="13" fontId="1" numFmtId="0" xfId="0" applyAlignment="1" applyBorder="1" applyFont="1">
      <alignment vertical="center"/>
    </xf>
    <xf borderId="31" fillId="13" fontId="15" numFmtId="169" xfId="0" applyAlignment="1" applyBorder="1" applyFont="1" applyNumberFormat="1">
      <alignment horizontal="center" vertical="center"/>
    </xf>
    <xf borderId="31" fillId="13" fontId="15" numFmtId="169" xfId="0" applyAlignment="1" applyBorder="1" applyFont="1" applyNumberFormat="1">
      <alignment vertical="center"/>
    </xf>
    <xf borderId="31" fillId="10" fontId="1" numFmtId="0" xfId="0" applyAlignment="1" applyBorder="1" applyFont="1">
      <alignment vertical="center"/>
    </xf>
    <xf borderId="31" fillId="10" fontId="15" numFmtId="169" xfId="0" applyAlignment="1" applyBorder="1" applyFont="1" applyNumberFormat="1">
      <alignment horizontal="center" vertical="center"/>
    </xf>
    <xf borderId="31" fillId="21" fontId="1" numFmtId="0" xfId="0" applyAlignment="1" applyBorder="1" applyFill="1" applyFont="1">
      <alignment vertical="center"/>
    </xf>
    <xf borderId="31" fillId="21" fontId="15" numFmtId="169" xfId="0" applyAlignment="1" applyBorder="1" applyFont="1" applyNumberFormat="1">
      <alignment horizontal="center" vertical="center"/>
    </xf>
    <xf borderId="31" fillId="21" fontId="15" numFmtId="169" xfId="0" applyAlignment="1" applyBorder="1" applyFont="1" applyNumberFormat="1">
      <alignment vertical="center"/>
    </xf>
    <xf borderId="79" fillId="3" fontId="3" numFmtId="0" xfId="0" applyAlignment="1" applyBorder="1" applyFont="1">
      <alignment horizontal="center"/>
    </xf>
    <xf borderId="57" fillId="0" fontId="2" numFmtId="0" xfId="0" applyBorder="1" applyFont="1"/>
    <xf borderId="80" fillId="0" fontId="2" numFmtId="0" xfId="0" applyBorder="1" applyFont="1"/>
    <xf borderId="6" fillId="11" fontId="30" numFmtId="169" xfId="0" applyAlignment="1" applyBorder="1" applyFont="1" applyNumberFormat="1">
      <alignment horizontal="center" vertical="center"/>
    </xf>
    <xf borderId="38" fillId="0" fontId="30" numFmtId="168" xfId="0" applyAlignment="1" applyBorder="1" applyFont="1" applyNumberFormat="1">
      <alignment vertical="center"/>
    </xf>
    <xf borderId="6" fillId="12" fontId="30" numFmtId="168" xfId="0" applyAlignment="1" applyBorder="1" applyFont="1" applyNumberFormat="1">
      <alignment vertical="center"/>
    </xf>
    <xf borderId="81" fillId="0" fontId="2" numFmtId="0" xfId="0" applyBorder="1" applyFont="1"/>
    <xf borderId="50" fillId="0" fontId="8" numFmtId="0" xfId="0" applyAlignment="1" applyBorder="1" applyFont="1">
      <alignment vertical="center"/>
    </xf>
    <xf borderId="82" fillId="0" fontId="2" numFmtId="0" xfId="0" applyBorder="1" applyFont="1"/>
    <xf borderId="31" fillId="3" fontId="3" numFmtId="0" xfId="0" applyAlignment="1" applyBorder="1" applyFont="1">
      <alignment horizontal="center"/>
    </xf>
    <xf borderId="43" fillId="5" fontId="5" numFmtId="0" xfId="0" applyAlignment="1" applyBorder="1" applyFont="1">
      <alignment horizontal="center"/>
    </xf>
    <xf borderId="83" fillId="6" fontId="31" numFmtId="0" xfId="0" applyAlignment="1" applyBorder="1" applyFont="1">
      <alignment horizontal="center" shrinkToFit="0" vertical="center" wrapText="1"/>
    </xf>
    <xf borderId="84" fillId="6" fontId="8" numFmtId="0" xfId="0" applyAlignment="1" applyBorder="1" applyFont="1">
      <alignment vertical="center"/>
    </xf>
    <xf borderId="85" fillId="0" fontId="2" numFmtId="0" xfId="0" applyBorder="1" applyFont="1"/>
    <xf borderId="86" fillId="0" fontId="2" numFmtId="0" xfId="0" applyBorder="1" applyFont="1"/>
    <xf borderId="79" fillId="6" fontId="3" numFmtId="0" xfId="0" applyAlignment="1" applyBorder="1" applyFont="1">
      <alignment horizontal="center"/>
    </xf>
    <xf borderId="87" fillId="7" fontId="1" numFmtId="0" xfId="0" applyAlignment="1" applyBorder="1" applyFont="1">
      <alignment vertical="center"/>
    </xf>
    <xf borderId="74" fillId="0" fontId="2" numFmtId="0" xfId="0" applyBorder="1" applyFont="1"/>
    <xf borderId="88" fillId="0" fontId="2" numFmtId="0" xfId="0" applyBorder="1" applyFont="1"/>
    <xf borderId="89" fillId="7" fontId="28" numFmtId="0" xfId="0" applyAlignment="1" applyBorder="1" applyFont="1">
      <alignment horizontal="center" vertical="center"/>
    </xf>
    <xf borderId="89" fillId="7" fontId="28" numFmtId="0" xfId="0" applyAlignment="1" applyBorder="1" applyFont="1">
      <alignment horizontal="right" vertical="center"/>
    </xf>
    <xf borderId="87" fillId="7" fontId="28" numFmtId="0" xfId="0" applyAlignment="1" applyBorder="1" applyFont="1">
      <alignment horizontal="right" vertical="center"/>
    </xf>
    <xf borderId="90" fillId="0" fontId="2" numFmtId="0" xfId="0" applyBorder="1" applyFont="1"/>
    <xf borderId="0" fillId="0" fontId="10" numFmtId="0" xfId="0" applyFont="1"/>
    <xf borderId="39" fillId="0" fontId="10" numFmtId="0" xfId="0" applyBorder="1" applyFont="1"/>
    <xf borderId="41" fillId="0" fontId="30" numFmtId="0" xfId="0" applyAlignment="1" applyBorder="1" applyFont="1">
      <alignment vertical="center"/>
    </xf>
    <xf borderId="91" fillId="9" fontId="29" numFmtId="0" xfId="0" applyAlignment="1" applyBorder="1" applyFont="1">
      <alignment horizontal="center" readingOrder="0" vertical="center"/>
    </xf>
    <xf borderId="39" fillId="0" fontId="30" numFmtId="0" xfId="0" applyAlignment="1" applyBorder="1" applyFont="1">
      <alignment vertical="center"/>
    </xf>
    <xf borderId="41" fillId="0" fontId="2" numFmtId="0" xfId="0" applyBorder="1" applyFont="1"/>
    <xf borderId="71" fillId="20" fontId="10" numFmtId="0" xfId="0" applyBorder="1" applyFont="1"/>
    <xf borderId="31" fillId="20" fontId="7" numFmtId="0" xfId="0" applyAlignment="1" applyBorder="1" applyFont="1">
      <alignment vertical="center"/>
    </xf>
    <xf borderId="31" fillId="20" fontId="15" numFmtId="169" xfId="0" applyAlignment="1" applyBorder="1" applyFont="1" applyNumberFormat="1">
      <alignment horizontal="center" vertical="center"/>
    </xf>
    <xf borderId="31" fillId="20" fontId="15" numFmtId="169" xfId="0" applyAlignment="1" applyBorder="1" applyFont="1" applyNumberFormat="1">
      <alignment vertical="center"/>
    </xf>
    <xf borderId="34" fillId="12" fontId="15" numFmtId="169" xfId="0" applyAlignment="1" applyBorder="1" applyFont="1" applyNumberFormat="1">
      <alignment vertical="center"/>
    </xf>
    <xf borderId="14" fillId="0" fontId="30" numFmtId="0" xfId="0" applyAlignment="1" applyBorder="1" applyFont="1">
      <alignment vertical="center"/>
    </xf>
    <xf borderId="92" fillId="9" fontId="29" numFmtId="0" xfId="0" applyAlignment="1" applyBorder="1" applyFont="1">
      <alignment horizontal="center" vertical="center"/>
    </xf>
    <xf borderId="93" fillId="9" fontId="29" numFmtId="0" xfId="0" applyAlignment="1" applyBorder="1" applyFont="1">
      <alignment shrinkToFit="0" vertical="top" wrapText="1"/>
    </xf>
    <xf borderId="94" fillId="0" fontId="2" numFmtId="0" xfId="0" applyBorder="1" applyFont="1"/>
    <xf borderId="31" fillId="11" fontId="7" numFmtId="169" xfId="0" applyAlignment="1" applyBorder="1" applyFont="1" applyNumberFormat="1">
      <alignment horizontal="center" vertical="center"/>
    </xf>
    <xf borderId="31" fillId="9" fontId="15" numFmtId="169" xfId="0" applyAlignment="1" applyBorder="1" applyFont="1" applyNumberFormat="1">
      <alignment vertical="center"/>
    </xf>
    <xf borderId="31" fillId="9" fontId="15" numFmtId="169" xfId="0" applyAlignment="1" applyBorder="1" applyFont="1" applyNumberFormat="1">
      <alignment readingOrder="0" vertical="center"/>
    </xf>
    <xf borderId="34" fillId="9" fontId="15" numFmtId="169" xfId="0" applyAlignment="1" applyBorder="1" applyFont="1" applyNumberFormat="1">
      <alignment vertical="center"/>
    </xf>
    <xf borderId="1" fillId="2" fontId="32" numFmtId="0" xfId="0" applyBorder="1" applyFont="1"/>
    <xf borderId="92" fillId="9" fontId="29" numFmtId="168" xfId="0" applyAlignment="1" applyBorder="1" applyFont="1" applyNumberFormat="1">
      <alignment horizontal="center" vertical="center"/>
    </xf>
    <xf borderId="1" fillId="2" fontId="32" numFmtId="0" xfId="0" applyAlignment="1" applyBorder="1" applyFont="1">
      <alignment vertical="center"/>
    </xf>
    <xf borderId="92" fillId="9" fontId="29" numFmtId="9" xfId="0" applyAlignment="1" applyBorder="1" applyFont="1" applyNumberFormat="1">
      <alignment horizontal="center" vertical="center"/>
    </xf>
    <xf borderId="95" fillId="20" fontId="10" numFmtId="0" xfId="0" applyBorder="1" applyFont="1"/>
    <xf borderId="48" fillId="20" fontId="7" numFmtId="0" xfId="0" applyAlignment="1" applyBorder="1" applyFont="1">
      <alignment vertical="center"/>
    </xf>
    <xf borderId="48" fillId="20" fontId="15" numFmtId="169" xfId="0" applyAlignment="1" applyBorder="1" applyFont="1" applyNumberFormat="1">
      <alignment horizontal="center" vertical="center"/>
    </xf>
    <xf borderId="48" fillId="20" fontId="15" numFmtId="169" xfId="0" applyAlignment="1" applyBorder="1" applyFont="1" applyNumberFormat="1">
      <alignment vertical="center"/>
    </xf>
    <xf borderId="96" fillId="12" fontId="15" numFmtId="169" xfId="0" applyAlignment="1" applyBorder="1" applyFont="1" applyNumberFormat="1">
      <alignment vertical="center"/>
    </xf>
    <xf borderId="31" fillId="11" fontId="30" numFmtId="169" xfId="0" applyAlignment="1" applyBorder="1" applyFont="1" applyNumberFormat="1">
      <alignment horizontal="center" vertical="center"/>
    </xf>
    <xf borderId="67" fillId="0" fontId="30" numFmtId="0" xfId="0" applyAlignment="1" applyBorder="1" applyFont="1">
      <alignment vertical="center"/>
    </xf>
    <xf borderId="97" fillId="9" fontId="33" numFmtId="0" xfId="0" applyAlignment="1" applyBorder="1" applyFont="1">
      <alignment vertical="center"/>
    </xf>
    <xf borderId="98" fillId="0" fontId="2" numFmtId="0" xfId="0" applyBorder="1" applyFont="1"/>
    <xf borderId="99" fillId="6" fontId="10" numFmtId="0" xfId="0" applyBorder="1" applyFont="1"/>
    <xf borderId="100" fillId="0" fontId="2" numFmtId="0" xfId="0" applyBorder="1" applyFont="1"/>
    <xf borderId="101" fillId="0" fontId="2" numFmtId="0" xfId="0" applyBorder="1" applyFont="1"/>
    <xf borderId="82" fillId="0" fontId="10" numFmtId="0" xfId="0" applyBorder="1" applyFont="1"/>
    <xf borderId="50" fillId="0" fontId="1" numFmtId="0" xfId="0" applyAlignment="1" applyBorder="1" applyFont="1">
      <alignment horizontal="left" vertical="center"/>
    </xf>
    <xf borderId="99" fillId="11" fontId="1" numFmtId="169" xfId="0" applyAlignment="1" applyBorder="1" applyFont="1" applyNumberFormat="1">
      <alignment horizontal="center" vertical="center"/>
    </xf>
    <xf borderId="99" fillId="9" fontId="15" numFmtId="169" xfId="0" applyAlignment="1" applyBorder="1" applyFont="1" applyNumberFormat="1">
      <alignment vertical="center"/>
    </xf>
    <xf borderId="102" fillId="9" fontId="15" numFmtId="169" xfId="0" applyAlignment="1" applyBorder="1" applyFont="1" applyNumberFormat="1">
      <alignment vertical="center"/>
    </xf>
    <xf borderId="103" fillId="0" fontId="2" numFmtId="0" xfId="0" applyBorder="1" applyFont="1"/>
    <xf borderId="104" fillId="6" fontId="10" numFmtId="0" xfId="0" applyBorder="1" applyFont="1"/>
    <xf borderId="99" fillId="6" fontId="7" numFmtId="0" xfId="0" applyAlignment="1" applyBorder="1" applyFont="1">
      <alignment vertical="center"/>
    </xf>
    <xf borderId="99" fillId="6" fontId="30" numFmtId="169" xfId="0" applyAlignment="1" applyBorder="1" applyFont="1" applyNumberFormat="1">
      <alignment horizontal="center" vertical="center"/>
    </xf>
    <xf borderId="99" fillId="6" fontId="30" numFmtId="169" xfId="0" applyAlignment="1" applyBorder="1" applyFont="1" applyNumberFormat="1">
      <alignment vertical="center"/>
    </xf>
    <xf borderId="102" fillId="6" fontId="30" numFmtId="169" xfId="0" applyAlignment="1" applyBorder="1" applyFont="1" applyNumberFormat="1">
      <alignment vertical="center"/>
    </xf>
    <xf borderId="104" fillId="7" fontId="10" numFmtId="0" xfId="0" applyBorder="1" applyFont="1"/>
    <xf borderId="99" fillId="7" fontId="1" numFmtId="0" xfId="0" applyAlignment="1" applyBorder="1" applyFont="1">
      <alignment vertical="center"/>
    </xf>
    <xf borderId="99" fillId="7" fontId="15" numFmtId="169" xfId="0" applyAlignment="1" applyBorder="1" applyFont="1" applyNumberFormat="1">
      <alignment horizontal="center" vertical="center"/>
    </xf>
    <xf borderId="99" fillId="7" fontId="15" numFmtId="169" xfId="0" applyAlignment="1" applyBorder="1" applyFont="1" applyNumberFormat="1">
      <alignment vertical="center"/>
    </xf>
    <xf borderId="102" fillId="7" fontId="15" numFmtId="169" xfId="0" applyAlignment="1" applyBorder="1" applyFont="1" applyNumberFormat="1">
      <alignment vertical="center"/>
    </xf>
    <xf borderId="105" fillId="0" fontId="2" numFmtId="0" xfId="0" applyBorder="1" applyFont="1"/>
    <xf borderId="106" fillId="0" fontId="2" numFmtId="0" xfId="0" applyBorder="1" applyFont="1"/>
    <xf borderId="31" fillId="3" fontId="34" numFmtId="0" xfId="0" applyAlignment="1" applyBorder="1" applyFont="1">
      <alignment horizontal="center" shrinkToFit="0" vertical="center" wrapText="1"/>
    </xf>
    <xf borderId="31" fillId="3" fontId="1" numFmtId="0" xfId="0" applyAlignment="1" applyBorder="1" applyFont="1">
      <alignment vertical="center"/>
    </xf>
    <xf borderId="107" fillId="22" fontId="35" numFmtId="0" xfId="0" applyAlignment="1" applyBorder="1" applyFill="1" applyFont="1">
      <alignment horizontal="left"/>
    </xf>
    <xf borderId="108" fillId="0" fontId="2" numFmtId="0" xfId="0" applyBorder="1" applyFont="1"/>
    <xf borderId="0" fillId="0" fontId="36" numFmtId="0" xfId="0" applyFont="1"/>
    <xf borderId="109" fillId="23" fontId="35" numFmtId="0" xfId="0" applyAlignment="1" applyBorder="1" applyFill="1" applyFont="1">
      <alignment horizontal="left"/>
    </xf>
    <xf borderId="109" fillId="23" fontId="35" numFmtId="0" xfId="0" applyAlignment="1" applyBorder="1" applyFont="1">
      <alignment horizontal="center"/>
    </xf>
    <xf borderId="109" fillId="22" fontId="35" numFmtId="0" xfId="0" applyAlignment="1" applyBorder="1" applyFont="1">
      <alignment horizontal="center"/>
    </xf>
    <xf borderId="109" fillId="22" fontId="35" numFmtId="0" xfId="0" applyAlignment="1" applyBorder="1" applyFont="1">
      <alignment horizontal="center" shrinkToFit="0" wrapText="1"/>
    </xf>
    <xf borderId="109" fillId="23" fontId="35" numFmtId="174" xfId="0" applyAlignment="1" applyBorder="1" applyFont="1" applyNumberFormat="1">
      <alignment horizontal="center" shrinkToFit="0" wrapText="1"/>
    </xf>
    <xf borderId="109" fillId="0" fontId="36" numFmtId="174" xfId="0" applyAlignment="1" applyBorder="1" applyFont="1" applyNumberFormat="1">
      <alignment vertical="center"/>
    </xf>
    <xf borderId="109" fillId="0" fontId="36" numFmtId="175" xfId="0" applyAlignment="1" applyBorder="1" applyFont="1" applyNumberFormat="1">
      <alignment vertical="center"/>
    </xf>
    <xf borderId="109" fillId="0" fontId="18" numFmtId="166" xfId="0" applyAlignment="1" applyBorder="1" applyFont="1" applyNumberFormat="1">
      <alignment vertical="center"/>
    </xf>
    <xf borderId="0" fillId="0" fontId="36" numFmtId="0" xfId="0" applyAlignment="1" applyFont="1">
      <alignment vertical="center"/>
    </xf>
    <xf borderId="109" fillId="0" fontId="18" numFmtId="0" xfId="0" applyAlignment="1" applyBorder="1" applyFont="1">
      <alignment vertical="center"/>
    </xf>
    <xf borderId="109" fillId="0" fontId="37" numFmtId="10" xfId="0" applyAlignment="1" applyBorder="1" applyFont="1" applyNumberFormat="1">
      <alignment vertical="center"/>
    </xf>
    <xf borderId="107" fillId="24" fontId="38" numFmtId="0" xfId="0" applyAlignment="1" applyBorder="1" applyFill="1" applyFont="1">
      <alignment horizontal="left" vertical="center"/>
    </xf>
    <xf borderId="109" fillId="24" fontId="38" numFmtId="0" xfId="0" applyAlignment="1" applyBorder="1" applyFont="1">
      <alignment horizontal="center" vertical="center"/>
    </xf>
    <xf borderId="109" fillId="24" fontId="38" numFmtId="0" xfId="0" applyAlignment="1" applyBorder="1" applyFont="1">
      <alignment horizontal="center" shrinkToFit="0" vertical="center" wrapText="1"/>
    </xf>
    <xf borderId="107" fillId="25" fontId="38" numFmtId="0" xfId="0" applyAlignment="1" applyBorder="1" applyFill="1" applyFont="1">
      <alignment horizontal="left" vertical="center"/>
    </xf>
    <xf borderId="109" fillId="25" fontId="38" numFmtId="0" xfId="0" applyAlignment="1" applyBorder="1" applyFont="1">
      <alignment horizontal="center" vertical="center"/>
    </xf>
    <xf borderId="109" fillId="25" fontId="38" numFmtId="0" xfId="0" applyAlignment="1" applyBorder="1" applyFont="1">
      <alignment horizontal="center" shrinkToFit="0" vertical="center" wrapText="1"/>
    </xf>
    <xf borderId="107" fillId="26" fontId="38" numFmtId="0" xfId="0" applyAlignment="1" applyBorder="1" applyFill="1" applyFont="1">
      <alignment horizontal="left" vertical="center"/>
    </xf>
    <xf borderId="109" fillId="26" fontId="38" numFmtId="0" xfId="0" applyAlignment="1" applyBorder="1" applyFont="1">
      <alignment horizontal="center" vertical="center"/>
    </xf>
    <xf borderId="109" fillId="26" fontId="38" numFmtId="0" xfId="0" applyAlignment="1" applyBorder="1" applyFont="1">
      <alignment horizontal="center" shrinkToFit="0" vertical="center" wrapText="1"/>
    </xf>
    <xf borderId="107" fillId="27" fontId="38" numFmtId="0" xfId="0" applyAlignment="1" applyBorder="1" applyFill="1" applyFont="1">
      <alignment horizontal="left" vertical="center"/>
    </xf>
    <xf borderId="109" fillId="27" fontId="38" numFmtId="0" xfId="0" applyAlignment="1" applyBorder="1" applyFont="1">
      <alignment horizontal="center" vertical="center"/>
    </xf>
    <xf borderId="109" fillId="27" fontId="38" numFmtId="0" xfId="0" applyAlignment="1" applyBorder="1" applyFont="1">
      <alignment horizontal="center" shrinkToFit="0" vertical="center" wrapText="1"/>
    </xf>
    <xf borderId="107" fillId="28" fontId="38" numFmtId="0" xfId="0" applyAlignment="1" applyBorder="1" applyFill="1" applyFont="1">
      <alignment horizontal="left" vertical="center"/>
    </xf>
    <xf borderId="109" fillId="28" fontId="38" numFmtId="0" xfId="0" applyAlignment="1" applyBorder="1" applyFont="1">
      <alignment horizontal="center" vertical="center"/>
    </xf>
    <xf borderId="109" fillId="28" fontId="3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>
        <color rgb="FFFF0000"/>
      </font>
      <fill>
        <patternFill patternType="none"/>
      </fill>
      <border/>
    </dxf>
    <dxf>
      <font/>
      <fill>
        <patternFill patternType="solid">
          <fgColor rgb="FFFFFF90"/>
          <bgColor rgb="FFFFFF90"/>
        </patternFill>
      </fill>
      <border/>
    </dxf>
    <dxf>
      <font>
        <color rgb="FF93C47D"/>
      </font>
      <fill>
        <patternFill patternType="solid">
          <fgColor rgb="FFD9EAD3"/>
          <bgColor rgb="FFD9EAD3"/>
        </patternFill>
      </fill>
      <border/>
    </dxf>
    <dxf>
      <font>
        <b/>
        <i/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00B2A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c78dd626-6e0a-43a2-a137-edaa96d6f5c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39" dT="2024-08-21T03:24:11.00" personId="{c78dd626-6e0a-43a2-a137-edaa96d6f5ca}" id="{3c39e485-f677-4cef-8423-194bf2485f8a}" done="0">
    <x18tc:text xml:space="preserve">Based off 6.8% Australian average equity growth - Across 10 year holding period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outlinePr summaryBelow="0" summaryRight="0"/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 outlineLevelCol="1" outlineLevelRow="1"/>
  <cols>
    <col customWidth="1" min="1" max="1" width="3.14"/>
    <col customWidth="1" min="2" max="2" width="2.29" outlineLevel="1"/>
    <col customWidth="1" min="3" max="3" width="1.86" outlineLevel="1"/>
    <col customWidth="1" min="4" max="4" width="22.86" outlineLevel="1"/>
    <col customWidth="1" min="5" max="5" width="37.86" outlineLevel="1"/>
    <col customWidth="1" min="6" max="6" width="2.14" outlineLevel="1"/>
    <col customWidth="1" min="7" max="7" width="3.86" outlineLevel="1"/>
    <col customWidth="1" min="8" max="8" width="1.29"/>
    <col customWidth="1" min="9" max="9" width="5.86"/>
    <col customWidth="1" min="10" max="10" width="2.14"/>
    <col customWidth="1" min="11" max="11" width="3.29" outlineLevel="1"/>
    <col customWidth="1" min="12" max="12" width="47.29" outlineLevel="1"/>
    <col customWidth="1" min="13" max="13" width="23.29" outlineLevel="1"/>
    <col customWidth="1" min="14" max="14" width="14.29" outlineLevel="1"/>
    <col customWidth="1" min="15" max="15" width="29.0" outlineLevel="1"/>
    <col customWidth="1" min="16" max="16" width="15.71" outlineLevel="1"/>
    <col customWidth="1" min="17" max="17" width="2.71" outlineLevel="1"/>
    <col customWidth="1" min="18" max="18" width="1.57" outlineLevel="1"/>
    <col customWidth="1" min="19" max="19" width="8.86"/>
    <col customWidth="1" min="20" max="20" width="1.86"/>
    <col customWidth="1" min="21" max="21" width="3.0" outlineLevel="1"/>
    <col customWidth="1" min="22" max="22" width="1.0" outlineLevel="1"/>
    <col customWidth="1" min="23" max="23" width="2.14" outlineLevel="1"/>
    <col customWidth="1" min="24" max="24" width="12.86" outlineLevel="1"/>
    <col customWidth="1" min="25" max="25" width="16.0" outlineLevel="1"/>
    <col customWidth="1" min="26" max="26" width="9.43" outlineLevel="1"/>
    <col customWidth="1" min="27" max="27" width="6.86" outlineLevel="1"/>
    <col customWidth="1" min="28" max="28" width="8.57" outlineLevel="1"/>
    <col customWidth="1" min="29" max="30" width="4.0" outlineLevel="1"/>
    <col customWidth="1" min="31" max="31" width="11.57" outlineLevel="1"/>
    <col customWidth="1" min="32" max="32" width="8.71" outlineLevel="1"/>
    <col customWidth="1" min="33" max="33" width="9.0" outlineLevel="1"/>
    <col customWidth="1" min="34" max="34" width="4.86" outlineLevel="1"/>
    <col customWidth="1" min="35" max="35" width="9.43" outlineLevel="1"/>
    <col customWidth="1" min="36" max="36" width="6.43" outlineLevel="1"/>
    <col customWidth="1" min="37" max="37" width="8.29" outlineLevel="1"/>
    <col customWidth="1" min="38" max="38" width="5.57" outlineLevel="1"/>
    <col customWidth="1" min="39" max="39" width="9.29" outlineLevel="1"/>
    <col customWidth="1" min="40" max="40" width="3.0" outlineLevel="1"/>
    <col customWidth="1" min="41" max="41" width="3.86" outlineLevel="1"/>
    <col customWidth="1" min="42" max="42" width="3.71" outlineLevel="1"/>
    <col customWidth="1" min="43" max="43" width="7.57" outlineLevel="1"/>
    <col customWidth="1" min="44" max="44" width="11.57" outlineLevel="1"/>
    <col customWidth="1" min="45" max="45" width="12.43" outlineLevel="1"/>
    <col customWidth="1" min="46" max="46" width="11.0" outlineLevel="1"/>
    <col customWidth="1" min="47" max="47" width="5.57" outlineLevel="1"/>
    <col customWidth="1" min="48" max="48" width="6.14" outlineLevel="1"/>
    <col customWidth="1" min="49" max="49" width="6.43" outlineLevel="1"/>
    <col customWidth="1" min="50" max="50" width="5.0" outlineLevel="1"/>
    <col customWidth="1" min="51" max="51" width="8.71" outlineLevel="1"/>
    <col customWidth="1" min="52" max="52" width="2.57" outlineLevel="1"/>
    <col customWidth="1" min="53" max="53" width="1.43" outlineLevel="1"/>
    <col customWidth="1" min="54" max="54" width="14.71"/>
  </cols>
  <sheetData>
    <row r="1" ht="15.75" customHeight="1">
      <c r="A1" s="1" t="s">
        <v>0</v>
      </c>
      <c r="B1" s="2"/>
      <c r="C1" s="3"/>
      <c r="D1" s="3"/>
      <c r="E1" s="3"/>
      <c r="F1" s="3"/>
      <c r="G1" s="4"/>
      <c r="H1" s="5"/>
      <c r="I1" s="6"/>
      <c r="J1" s="7"/>
      <c r="K1" s="8"/>
      <c r="L1" s="8"/>
      <c r="M1" s="8"/>
      <c r="N1" s="8"/>
      <c r="O1" s="8"/>
      <c r="P1" s="8"/>
      <c r="Q1" s="8"/>
      <c r="R1" s="9"/>
      <c r="S1" s="10"/>
      <c r="T1" s="11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9"/>
      <c r="BB1" s="12"/>
    </row>
    <row r="2" ht="19.5" customHeight="1">
      <c r="A2" s="1"/>
      <c r="B2" s="12"/>
      <c r="C2" s="13"/>
      <c r="D2" s="14"/>
      <c r="E2" s="14"/>
      <c r="F2" s="15"/>
      <c r="G2" s="16"/>
      <c r="H2" s="17"/>
      <c r="I2" s="16"/>
      <c r="J2" s="18"/>
      <c r="K2" s="19"/>
      <c r="L2" s="20" t="s">
        <v>1</v>
      </c>
      <c r="M2" s="21"/>
      <c r="N2" s="21"/>
      <c r="O2" s="21"/>
      <c r="P2" s="22"/>
      <c r="Q2" s="18"/>
      <c r="R2" s="19"/>
      <c r="S2" s="16"/>
      <c r="T2" s="23"/>
      <c r="U2" s="24"/>
      <c r="V2" s="20" t="s">
        <v>2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2"/>
      <c r="AZ2" s="23"/>
      <c r="BA2" s="25"/>
      <c r="BB2" s="26"/>
    </row>
    <row r="3" ht="21.0" customHeight="1">
      <c r="A3" s="1"/>
      <c r="B3" s="26"/>
      <c r="C3" s="27"/>
      <c r="D3" s="28"/>
      <c r="E3" s="28"/>
      <c r="F3" s="29"/>
      <c r="G3" s="26"/>
      <c r="H3" s="30"/>
      <c r="I3" s="26"/>
      <c r="J3" s="31"/>
      <c r="L3" s="32"/>
      <c r="P3" s="33"/>
      <c r="Q3" s="31"/>
      <c r="S3" s="26"/>
      <c r="T3" s="31"/>
      <c r="V3" s="32"/>
      <c r="AY3" s="33"/>
      <c r="AZ3" s="31"/>
      <c r="BA3" s="34"/>
      <c r="BB3" s="26"/>
    </row>
    <row r="4" ht="12.0" customHeight="1">
      <c r="A4" s="1"/>
      <c r="B4" s="26"/>
      <c r="C4" s="35" t="str">
        <f>'REPORT | Inputs.'!ADDRESS</f>
        <v>Weir Views</v>
      </c>
      <c r="D4" s="14"/>
      <c r="E4" s="14"/>
      <c r="F4" s="15"/>
      <c r="G4" s="26"/>
      <c r="H4" s="30"/>
      <c r="I4" s="26"/>
      <c r="J4" s="31"/>
      <c r="L4" s="36"/>
      <c r="M4" s="28"/>
      <c r="N4" s="28"/>
      <c r="O4" s="28"/>
      <c r="P4" s="37"/>
      <c r="Q4" s="31"/>
      <c r="S4" s="26"/>
      <c r="T4" s="31"/>
      <c r="V4" s="36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37"/>
      <c r="AZ4" s="31"/>
      <c r="BA4" s="34"/>
      <c r="BB4" s="26"/>
    </row>
    <row r="5" ht="3.75" customHeight="1">
      <c r="A5" s="1"/>
      <c r="B5" s="26"/>
      <c r="C5" s="27"/>
      <c r="D5" s="28"/>
      <c r="E5" s="28"/>
      <c r="F5" s="29"/>
      <c r="G5" s="26"/>
      <c r="H5" s="30"/>
      <c r="I5" s="26"/>
      <c r="J5" s="31"/>
      <c r="L5" s="38"/>
      <c r="M5" s="39"/>
      <c r="N5" s="39"/>
      <c r="O5" s="39"/>
      <c r="P5" s="39"/>
      <c r="Q5" s="31"/>
      <c r="S5" s="26"/>
      <c r="T5" s="31"/>
      <c r="V5" s="38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1"/>
      <c r="BA5" s="34"/>
      <c r="BB5" s="26"/>
    </row>
    <row r="6" ht="16.5" customHeight="1">
      <c r="A6" s="1"/>
      <c r="B6" s="26"/>
      <c r="C6" s="40"/>
      <c r="D6" s="41"/>
      <c r="E6" s="41"/>
      <c r="F6" s="42"/>
      <c r="G6" s="26"/>
      <c r="H6" s="30"/>
      <c r="I6" s="26"/>
      <c r="J6" s="31"/>
      <c r="L6" s="43" t="str">
        <f>'REPORT | Inputs.'!PURCHASER&amp;" - for the purchase of"&amp;" "&amp;'REPORT | Inputs.'!ADDRESS</f>
        <v>Akshay Kapoor - for the purchase of Weir Views</v>
      </c>
      <c r="M6" s="44"/>
      <c r="N6" s="44"/>
      <c r="O6" s="44"/>
      <c r="P6" s="45"/>
      <c r="Q6" s="31"/>
      <c r="S6" s="26"/>
      <c r="T6" s="31"/>
      <c r="V6" s="43" t="str">
        <f>'REPORT | Inputs.'!PURCHASER&amp;" - for the hold of"&amp;" "&amp;'REPORT | Inputs.'!ADDRESS</f>
        <v>Akshay Kapoor - for the hold of Weir Views</v>
      </c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5"/>
      <c r="AZ6" s="31"/>
      <c r="BA6" s="34"/>
      <c r="BB6" s="26"/>
    </row>
    <row r="7" ht="3.0" customHeight="1">
      <c r="A7" s="1"/>
      <c r="B7" s="26"/>
      <c r="C7" s="46"/>
      <c r="D7" s="44"/>
      <c r="E7" s="44"/>
      <c r="F7" s="47"/>
      <c r="G7" s="26"/>
      <c r="H7" s="30"/>
      <c r="I7" s="26"/>
      <c r="J7" s="31"/>
      <c r="L7" s="48"/>
      <c r="Q7" s="31"/>
      <c r="S7" s="26"/>
      <c r="T7" s="31"/>
      <c r="V7" s="24"/>
      <c r="AZ7" s="31"/>
      <c r="BA7" s="34"/>
      <c r="BB7" s="26"/>
    </row>
    <row r="8" ht="16.5" customHeight="1">
      <c r="A8" s="1"/>
      <c r="B8" s="26"/>
      <c r="C8" s="49"/>
      <c r="D8" s="44"/>
      <c r="E8" s="44"/>
      <c r="F8" s="50"/>
      <c r="G8" s="26"/>
      <c r="H8" s="30"/>
      <c r="I8" s="26"/>
      <c r="J8" s="31"/>
      <c r="L8" s="51" t="s">
        <v>3</v>
      </c>
      <c r="M8" s="52" t="str">
        <f>'REPORT | Inputs.'!ADDRESS</f>
        <v>Weir Views</v>
      </c>
      <c r="N8" s="52"/>
      <c r="O8" s="53" t="s">
        <v>4</v>
      </c>
      <c r="P8" s="54">
        <f>'REPORT | Inputs.'!CONTRACT_DATE</f>
        <v>46242</v>
      </c>
      <c r="Q8" s="31"/>
      <c r="S8" s="26"/>
      <c r="T8" s="31"/>
      <c r="V8" s="51" t="s">
        <v>3</v>
      </c>
      <c r="W8" s="55"/>
      <c r="X8" s="55"/>
      <c r="Y8" s="52" t="str">
        <f>'REPORT | Inputs.'!ADDRESS</f>
        <v>Weir Views</v>
      </c>
      <c r="Z8" s="55"/>
      <c r="AA8" s="55"/>
      <c r="AB8" s="55"/>
      <c r="AC8" s="55"/>
      <c r="AD8" s="56"/>
      <c r="AE8" s="51" t="s">
        <v>5</v>
      </c>
      <c r="AF8" s="55"/>
      <c r="AG8" s="52" t="str">
        <f>'REPORT | Inputs.'!PURCHASER</f>
        <v>Akshay Kapoor</v>
      </c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3" t="s">
        <v>4</v>
      </c>
      <c r="AV8" s="55"/>
      <c r="AW8" s="55"/>
      <c r="AX8" s="57">
        <f>'REPORT | Inputs.'!CONTRACT_DATE</f>
        <v>46242</v>
      </c>
      <c r="AY8" s="55"/>
      <c r="AZ8" s="31"/>
      <c r="BA8" s="34"/>
      <c r="BB8" s="26"/>
    </row>
    <row r="9" ht="16.5" customHeight="1">
      <c r="A9" s="1"/>
      <c r="B9" s="26"/>
      <c r="C9" s="40"/>
      <c r="D9" s="41"/>
      <c r="E9" s="41"/>
      <c r="F9" s="42"/>
      <c r="G9" s="26"/>
      <c r="H9" s="30"/>
      <c r="I9" s="26"/>
      <c r="J9" s="31"/>
      <c r="L9" s="58"/>
      <c r="Q9" s="31"/>
      <c r="S9" s="26"/>
      <c r="T9" s="31"/>
      <c r="V9" s="58"/>
      <c r="AD9" s="58"/>
      <c r="AZ9" s="31"/>
      <c r="BA9" s="34"/>
      <c r="BB9" s="26"/>
    </row>
    <row r="10" ht="16.5" customHeight="1">
      <c r="A10" s="1"/>
      <c r="B10" s="26"/>
      <c r="C10" s="59"/>
      <c r="D10" s="60" t="s">
        <v>6</v>
      </c>
      <c r="E10" s="61"/>
      <c r="F10" s="62"/>
      <c r="G10" s="26"/>
      <c r="H10" s="30"/>
      <c r="I10" s="26"/>
      <c r="J10" s="31"/>
      <c r="L10" s="63" t="s">
        <v>7</v>
      </c>
      <c r="M10" s="64"/>
      <c r="N10" s="64"/>
      <c r="O10" s="64"/>
      <c r="P10" s="65" t="s">
        <v>8</v>
      </c>
      <c r="Q10" s="31"/>
      <c r="S10" s="26"/>
      <c r="T10" s="31"/>
      <c r="V10" s="66" t="s">
        <v>9</v>
      </c>
      <c r="W10" s="8"/>
      <c r="X10" s="8"/>
      <c r="Y10" s="8"/>
      <c r="Z10" s="8"/>
      <c r="AA10" s="8"/>
      <c r="AB10" s="9"/>
      <c r="AC10" s="24"/>
      <c r="AD10" s="67"/>
      <c r="AE10" s="68" t="s">
        <v>10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31"/>
      <c r="BA10" s="34"/>
      <c r="BB10" s="26"/>
    </row>
    <row r="11" ht="17.25" customHeight="1">
      <c r="A11" s="1"/>
      <c r="B11" s="26"/>
      <c r="C11" s="34"/>
      <c r="D11" s="69" t="s">
        <v>11</v>
      </c>
      <c r="E11" s="70" t="s">
        <v>12</v>
      </c>
      <c r="F11" s="31"/>
      <c r="G11" s="26"/>
      <c r="H11" s="30"/>
      <c r="I11" s="26"/>
      <c r="J11" s="31"/>
      <c r="L11" s="24" t="s">
        <v>13</v>
      </c>
      <c r="O11" s="71">
        <v>600000.0</v>
      </c>
      <c r="P11" s="72">
        <f>MIN(E32,E16*E27)</f>
        <v>570000</v>
      </c>
      <c r="Q11" s="31"/>
      <c r="S11" s="26"/>
      <c r="T11" s="31"/>
      <c r="V11" s="73" t="s">
        <v>14</v>
      </c>
      <c r="AA11" s="74">
        <f>'REPORT | Inputs.'!RPW</f>
        <v>634.6153846</v>
      </c>
      <c r="AB11" s="31"/>
      <c r="AD11" s="34"/>
      <c r="AE11" s="75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5"/>
      <c r="AZ11" s="31"/>
      <c r="BA11" s="34"/>
      <c r="BB11" s="26"/>
    </row>
    <row r="12" ht="16.5" customHeight="1">
      <c r="A12" s="1"/>
      <c r="B12" s="26"/>
      <c r="C12" s="34"/>
      <c r="D12" s="69" t="s">
        <v>15</v>
      </c>
      <c r="E12" s="76" t="s">
        <v>16</v>
      </c>
      <c r="F12" s="31"/>
      <c r="G12" s="26"/>
      <c r="H12" s="30"/>
      <c r="I12" s="26"/>
      <c r="J12" s="31"/>
      <c r="L12" s="52" t="s">
        <v>17</v>
      </c>
      <c r="M12" s="55"/>
      <c r="N12" s="55"/>
      <c r="O12" s="71">
        <v>600000.0</v>
      </c>
      <c r="P12" s="77">
        <f>E27</f>
        <v>0.95</v>
      </c>
      <c r="Q12" s="31"/>
      <c r="S12" s="26"/>
      <c r="T12" s="31"/>
      <c r="V12" s="34"/>
      <c r="AB12" s="31"/>
      <c r="AD12" s="34"/>
      <c r="AE12" s="78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2"/>
      <c r="AV12" s="79" t="s">
        <v>18</v>
      </c>
      <c r="AW12" s="80"/>
      <c r="AX12" s="80"/>
      <c r="AY12" s="81"/>
      <c r="AZ12" s="31"/>
      <c r="BA12" s="34"/>
      <c r="BB12" s="26"/>
    </row>
    <row r="13" ht="16.5" customHeight="1">
      <c r="A13" s="1"/>
      <c r="B13" s="26"/>
      <c r="C13" s="34"/>
      <c r="F13" s="31"/>
      <c r="G13" s="26"/>
      <c r="H13" s="30"/>
      <c r="I13" s="26"/>
      <c r="J13" s="31"/>
      <c r="L13" s="24" t="s">
        <v>19</v>
      </c>
      <c r="O13" s="82">
        <f>1-E27</f>
        <v>0.05</v>
      </c>
      <c r="P13" s="83">
        <f>O25+O32+O35</f>
        <v>30000</v>
      </c>
      <c r="Q13" s="31"/>
      <c r="S13" s="26"/>
      <c r="T13" s="31"/>
      <c r="V13" s="73" t="s">
        <v>20</v>
      </c>
      <c r="AA13" s="74">
        <f>AA11*52</f>
        <v>33000</v>
      </c>
      <c r="AB13" s="31"/>
      <c r="AD13" s="34"/>
      <c r="AE13" s="32"/>
      <c r="AU13" s="33"/>
      <c r="AV13" s="84"/>
      <c r="AW13" s="55"/>
      <c r="AX13" s="55"/>
      <c r="AY13" s="85"/>
      <c r="AZ13" s="31"/>
      <c r="BA13" s="34"/>
      <c r="BB13" s="26"/>
    </row>
    <row r="14" ht="16.5" customHeight="1">
      <c r="A14" s="1"/>
      <c r="B14" s="26"/>
      <c r="C14" s="34"/>
      <c r="D14" s="69" t="s">
        <v>5</v>
      </c>
      <c r="E14" s="86" t="s">
        <v>21</v>
      </c>
      <c r="F14" s="31"/>
      <c r="G14" s="26"/>
      <c r="H14" s="30"/>
      <c r="I14" s="26"/>
      <c r="J14" s="31"/>
      <c r="L14" s="24" t="s">
        <v>22</v>
      </c>
      <c r="O14" s="87">
        <v>0.01</v>
      </c>
      <c r="P14" s="88"/>
      <c r="Q14" s="31"/>
      <c r="S14" s="26"/>
      <c r="T14" s="31"/>
      <c r="V14" s="89" t="s">
        <v>23</v>
      </c>
      <c r="Y14" s="90" t="str">
        <f>"("&amp; (52*(AA14))&amp;" / 52 weeks)"</f>
        <v>(0.572 / 52 weeks)</v>
      </c>
      <c r="AA14" s="91">
        <v>0.011</v>
      </c>
      <c r="AB14" s="47"/>
      <c r="AD14" s="34"/>
      <c r="AE14" s="32"/>
      <c r="AU14" s="33"/>
      <c r="AV14" s="92" t="s">
        <v>24</v>
      </c>
      <c r="AW14" s="93"/>
      <c r="AX14" s="94">
        <f>AB66</f>
        <v>37162.21742</v>
      </c>
      <c r="AY14" s="93"/>
      <c r="AZ14" s="31"/>
      <c r="BA14" s="34"/>
      <c r="BB14" s="26"/>
    </row>
    <row r="15" ht="16.5" customHeight="1">
      <c r="A15" s="1"/>
      <c r="B15" s="26"/>
      <c r="C15" s="34"/>
      <c r="F15" s="31"/>
      <c r="G15" s="26"/>
      <c r="H15" s="30"/>
      <c r="I15" s="26"/>
      <c r="J15" s="31"/>
      <c r="L15" s="95" t="s">
        <v>25</v>
      </c>
      <c r="M15" s="96"/>
      <c r="N15" s="96"/>
      <c r="O15" s="97">
        <v>0.0</v>
      </c>
      <c r="P15" s="98"/>
      <c r="Q15" s="31"/>
      <c r="S15" s="26"/>
      <c r="T15" s="31"/>
      <c r="V15" s="89" t="s">
        <v>26</v>
      </c>
      <c r="Y15" s="90" t="s">
        <v>27</v>
      </c>
      <c r="AA15" s="99">
        <v>1.0</v>
      </c>
      <c r="AB15" s="47"/>
      <c r="AD15" s="34"/>
      <c r="AE15" s="32"/>
      <c r="AU15" s="33"/>
      <c r="AV15" s="100" t="s">
        <v>28</v>
      </c>
      <c r="AW15" s="45"/>
      <c r="AX15" s="101">
        <f>AJ66</f>
        <v>223063.5148</v>
      </c>
      <c r="AY15" s="45"/>
      <c r="AZ15" s="31"/>
      <c r="BA15" s="34"/>
      <c r="BB15" s="26"/>
    </row>
    <row r="16" ht="16.5" customHeight="1">
      <c r="A16" s="1"/>
      <c r="B16" s="26"/>
      <c r="C16" s="34"/>
      <c r="D16" s="69" t="s">
        <v>29</v>
      </c>
      <c r="E16" s="102">
        <v>600000.0</v>
      </c>
      <c r="F16" s="31"/>
      <c r="G16" s="26"/>
      <c r="H16" s="30"/>
      <c r="I16" s="26"/>
      <c r="J16" s="31"/>
      <c r="L16" s="58"/>
      <c r="Q16" s="31"/>
      <c r="S16" s="26"/>
      <c r="T16" s="31"/>
      <c r="V16" s="73" t="s">
        <v>30</v>
      </c>
      <c r="AA16" s="103">
        <f>(AA13*(1-AA14))-(AA15*E20)</f>
        <v>32002.38462</v>
      </c>
      <c r="AB16" s="31"/>
      <c r="AD16" s="34"/>
      <c r="AE16" s="32"/>
      <c r="AU16" s="33"/>
      <c r="AV16" s="104" t="s">
        <v>31</v>
      </c>
      <c r="AW16" s="9"/>
      <c r="AX16" s="105">
        <f>AV66</f>
        <v>569407.0655</v>
      </c>
      <c r="AY16" s="9"/>
      <c r="AZ16" s="31"/>
      <c r="BA16" s="34"/>
      <c r="BB16" s="26"/>
    </row>
    <row r="17" ht="15.75" customHeight="1">
      <c r="A17" s="1"/>
      <c r="B17" s="26"/>
      <c r="C17" s="34"/>
      <c r="D17" s="69" t="s">
        <v>32</v>
      </c>
      <c r="E17" s="102">
        <v>600000.0</v>
      </c>
      <c r="F17" s="31"/>
      <c r="G17" s="26"/>
      <c r="H17" s="30"/>
      <c r="I17" s="26"/>
      <c r="J17" s="31"/>
      <c r="Q17" s="31"/>
      <c r="S17" s="26"/>
      <c r="T17" s="31"/>
      <c r="V17" s="106" t="s">
        <v>33</v>
      </c>
      <c r="W17" s="8"/>
      <c r="X17" s="8"/>
      <c r="Y17" s="8"/>
      <c r="Z17" s="9"/>
      <c r="AA17" s="107">
        <f>AA16</f>
        <v>32002.38462</v>
      </c>
      <c r="AB17" s="108"/>
      <c r="AD17" s="34"/>
      <c r="AE17" s="32"/>
      <c r="AU17" s="33"/>
      <c r="AV17" s="109" t="s">
        <v>34</v>
      </c>
      <c r="AW17" s="80"/>
      <c r="AX17" s="80"/>
      <c r="AY17" s="81"/>
      <c r="AZ17" s="31"/>
      <c r="BA17" s="34"/>
      <c r="BB17" s="26"/>
    </row>
    <row r="18" ht="15.0" customHeight="1">
      <c r="A18" s="1"/>
      <c r="B18" s="26"/>
      <c r="C18" s="34"/>
      <c r="D18" s="69" t="s">
        <v>35</v>
      </c>
      <c r="E18" s="110">
        <f>-(E17-E16)/E17</f>
        <v>0</v>
      </c>
      <c r="F18" s="31"/>
      <c r="G18" s="26"/>
      <c r="H18" s="30"/>
      <c r="I18" s="26"/>
      <c r="J18" s="31"/>
      <c r="L18" s="111" t="s">
        <v>36</v>
      </c>
      <c r="M18" s="21"/>
      <c r="N18" s="21"/>
      <c r="O18" s="21"/>
      <c r="P18" s="22"/>
      <c r="Q18" s="31"/>
      <c r="S18" s="26"/>
      <c r="T18" s="31"/>
      <c r="V18" s="58"/>
      <c r="AD18" s="34"/>
      <c r="AE18" s="32"/>
      <c r="AU18" s="33"/>
      <c r="AV18" s="84"/>
      <c r="AW18" s="55"/>
      <c r="AX18" s="55"/>
      <c r="AY18" s="85"/>
      <c r="AZ18" s="31"/>
      <c r="BA18" s="34"/>
      <c r="BB18" s="26"/>
    </row>
    <row r="19" ht="18.0" customHeight="1">
      <c r="A19" s="1"/>
      <c r="B19" s="26"/>
      <c r="C19" s="34"/>
      <c r="D19" s="112"/>
      <c r="E19" s="112"/>
      <c r="F19" s="31"/>
      <c r="G19" s="26"/>
      <c r="H19" s="30"/>
      <c r="I19" s="26"/>
      <c r="J19" s="31"/>
      <c r="L19" s="113"/>
      <c r="M19" s="96"/>
      <c r="N19" s="96"/>
      <c r="O19" s="96"/>
      <c r="P19" s="114"/>
      <c r="Q19" s="31"/>
      <c r="S19" s="26"/>
      <c r="T19" s="31"/>
      <c r="V19" s="66" t="s">
        <v>37</v>
      </c>
      <c r="W19" s="8"/>
      <c r="X19" s="8"/>
      <c r="Y19" s="8"/>
      <c r="Z19" s="8"/>
      <c r="AA19" s="8"/>
      <c r="AB19" s="9"/>
      <c r="AD19" s="34"/>
      <c r="AE19" s="32"/>
      <c r="AU19" s="33"/>
      <c r="AV19" s="115" t="s">
        <v>38</v>
      </c>
      <c r="AW19" s="45"/>
      <c r="AX19" s="116">
        <f>AB68</f>
        <v>-0.211630871</v>
      </c>
      <c r="AY19" s="93"/>
      <c r="AZ19" s="31"/>
      <c r="BA19" s="34"/>
      <c r="BB19" s="26"/>
    </row>
    <row r="20" ht="14.25" customHeight="1">
      <c r="A20" s="1"/>
      <c r="B20" s="26"/>
      <c r="C20" s="34"/>
      <c r="D20" s="69" t="s">
        <v>39</v>
      </c>
      <c r="E20" s="117">
        <f>(E16*5.5%)/52</f>
        <v>634.6153846</v>
      </c>
      <c r="F20" s="31"/>
      <c r="G20" s="26"/>
      <c r="H20" s="30"/>
      <c r="I20" s="26"/>
      <c r="J20" s="31"/>
      <c r="L20" s="58"/>
      <c r="Q20" s="31"/>
      <c r="S20" s="26"/>
      <c r="T20" s="31"/>
      <c r="V20" s="73" t="s">
        <v>40</v>
      </c>
      <c r="Z20" s="118">
        <f>'REPORT | Inputs.'!Loan_Rate_10Y_Avg</f>
        <v>0.061</v>
      </c>
      <c r="AA20" s="103">
        <f>-CUMIPMT('REPORT | Inputs.'!Loan_Rate_10Y_Avg/12,('REPORT | Inputs.'!Loan_Term*12)-((AB46-1)*12),Z48,1,12,0)</f>
        <v>34580.03604</v>
      </c>
      <c r="AB20" s="31"/>
      <c r="AD20" s="34"/>
      <c r="AE20" s="32"/>
      <c r="AU20" s="33"/>
      <c r="AV20" s="115" t="s">
        <v>28</v>
      </c>
      <c r="AW20" s="45"/>
      <c r="AX20" s="119">
        <f>AJ68</f>
        <v>-0.8339127581</v>
      </c>
      <c r="AY20" s="45"/>
      <c r="AZ20" s="31"/>
      <c r="BA20" s="34"/>
      <c r="BB20" s="26"/>
    </row>
    <row r="21" ht="15.0" customHeight="1">
      <c r="A21" s="1"/>
      <c r="B21" s="26"/>
      <c r="C21" s="34"/>
      <c r="D21" s="120" t="s">
        <v>41</v>
      </c>
      <c r="E21" s="121">
        <v>1.0</v>
      </c>
      <c r="F21" s="31"/>
      <c r="G21" s="26"/>
      <c r="H21" s="30"/>
      <c r="I21" s="26"/>
      <c r="J21" s="31"/>
      <c r="L21" s="122" t="s">
        <v>42</v>
      </c>
      <c r="M21" s="122" t="s">
        <v>43</v>
      </c>
      <c r="N21" s="122" t="s">
        <v>44</v>
      </c>
      <c r="O21" s="122" t="s">
        <v>45</v>
      </c>
      <c r="P21" s="122" t="s">
        <v>46</v>
      </c>
      <c r="Q21" s="31"/>
      <c r="S21" s="26"/>
      <c r="T21" s="31"/>
      <c r="V21" s="25" t="s">
        <v>47</v>
      </c>
      <c r="Z21" s="123">
        <v>0.055</v>
      </c>
      <c r="AA21" s="103">
        <f>AA17*Z21</f>
        <v>1760.131154</v>
      </c>
      <c r="AB21" s="31"/>
      <c r="AD21" s="34"/>
      <c r="AE21" s="32"/>
      <c r="AU21" s="33"/>
      <c r="AV21" s="124" t="s">
        <v>31</v>
      </c>
      <c r="AW21" s="9"/>
      <c r="AX21" s="125">
        <f>AV68</f>
        <v>-0.9718656715</v>
      </c>
      <c r="AY21" s="9"/>
      <c r="AZ21" s="31"/>
      <c r="BA21" s="34"/>
      <c r="BB21" s="26"/>
    </row>
    <row r="22" ht="16.5" customHeight="1">
      <c r="A22" s="1"/>
      <c r="B22" s="26"/>
      <c r="C22" s="34"/>
      <c r="D22" s="126"/>
      <c r="E22" s="127"/>
      <c r="F22" s="31"/>
      <c r="G22" s="26"/>
      <c r="H22" s="30"/>
      <c r="I22" s="26"/>
      <c r="J22" s="31"/>
      <c r="L22" s="128" t="s">
        <v>48</v>
      </c>
      <c r="M22" s="129" t="s">
        <v>42</v>
      </c>
      <c r="N22" s="130">
        <f>TODAY()</f>
        <v>46197</v>
      </c>
      <c r="O22" s="131">
        <v>0.0</v>
      </c>
      <c r="P22" s="132" t="s">
        <v>49</v>
      </c>
      <c r="Q22" s="31"/>
      <c r="S22" s="26"/>
      <c r="T22" s="31"/>
      <c r="V22" s="25" t="s">
        <v>50</v>
      </c>
      <c r="Z22" s="133"/>
      <c r="AA22" s="134">
        <v>1200.0</v>
      </c>
      <c r="AB22" s="47"/>
      <c r="AD22" s="34"/>
      <c r="AE22" s="32"/>
      <c r="AU22" s="33"/>
      <c r="AV22" s="135" t="s">
        <v>51</v>
      </c>
      <c r="AW22" s="21"/>
      <c r="AX22" s="21"/>
      <c r="AY22" s="22"/>
      <c r="AZ22" s="31"/>
      <c r="BA22" s="34"/>
      <c r="BB22" s="26"/>
    </row>
    <row r="23" ht="16.5" customHeight="1">
      <c r="A23" s="1"/>
      <c r="B23" s="26"/>
      <c r="C23" s="34"/>
      <c r="D23" s="120" t="s">
        <v>4</v>
      </c>
      <c r="E23" s="136">
        <f>N22+45</f>
        <v>46242</v>
      </c>
      <c r="F23" s="31"/>
      <c r="G23" s="26"/>
      <c r="H23" s="30"/>
      <c r="I23" s="26"/>
      <c r="J23" s="31"/>
      <c r="L23" s="58"/>
      <c r="Q23" s="31"/>
      <c r="S23" s="26"/>
      <c r="T23" s="31"/>
      <c r="V23" s="25" t="s">
        <v>52</v>
      </c>
      <c r="Z23" s="137">
        <v>0.005</v>
      </c>
      <c r="AA23" s="103">
        <f>Z23*'REPORT | Inputs.'!VALUATION</f>
        <v>3000</v>
      </c>
      <c r="AB23" s="31"/>
      <c r="AD23" s="34"/>
      <c r="AE23" s="32"/>
      <c r="AU23" s="33"/>
      <c r="AV23" s="84"/>
      <c r="AW23" s="55"/>
      <c r="AX23" s="55"/>
      <c r="AY23" s="85"/>
      <c r="AZ23" s="31"/>
      <c r="BA23" s="34"/>
      <c r="BB23" s="26"/>
    </row>
    <row r="24" ht="16.5" customHeight="1">
      <c r="A24" s="1"/>
      <c r="B24" s="26"/>
      <c r="C24" s="34"/>
      <c r="D24" s="69" t="s">
        <v>53</v>
      </c>
      <c r="E24" s="138">
        <v>21.0</v>
      </c>
      <c r="F24" s="31"/>
      <c r="G24" s="26"/>
      <c r="H24" s="30"/>
      <c r="I24" s="26"/>
      <c r="J24" s="31"/>
      <c r="L24" s="122" t="s">
        <v>54</v>
      </c>
      <c r="M24" s="122"/>
      <c r="N24" s="139"/>
      <c r="O24" s="122"/>
      <c r="P24" s="140"/>
      <c r="Q24" s="31"/>
      <c r="S24" s="26"/>
      <c r="T24" s="31"/>
      <c r="V24" s="25" t="s">
        <v>55</v>
      </c>
      <c r="Z24" s="141"/>
      <c r="AA24" s="142">
        <f>IF(E21&gt;1,1000,0)</f>
        <v>0</v>
      </c>
      <c r="AB24" s="47"/>
      <c r="AD24" s="34"/>
      <c r="AE24" s="32"/>
      <c r="AU24" s="33"/>
      <c r="AV24" s="115" t="s">
        <v>38</v>
      </c>
      <c r="AW24" s="45"/>
      <c r="AX24" s="116">
        <f>AB69</f>
        <v>0.4441363095</v>
      </c>
      <c r="AY24" s="93"/>
      <c r="AZ24" s="31"/>
      <c r="BA24" s="34"/>
      <c r="BB24" s="26"/>
    </row>
    <row r="25" ht="16.5" customHeight="1">
      <c r="A25" s="1"/>
      <c r="B25" s="26"/>
      <c r="C25" s="34"/>
      <c r="D25" s="143" t="s">
        <v>56</v>
      </c>
      <c r="E25" s="144">
        <v>42.0</v>
      </c>
      <c r="F25" s="31"/>
      <c r="G25" s="26"/>
      <c r="H25" s="30"/>
      <c r="I25" s="26"/>
      <c r="J25" s="31"/>
      <c r="L25" s="145" t="s">
        <v>57</v>
      </c>
      <c r="M25" s="145" t="s">
        <v>58</v>
      </c>
      <c r="N25" s="146">
        <f>'REPORT | Inputs.'!CONTRACT_DATE</f>
        <v>46242</v>
      </c>
      <c r="O25" s="147">
        <f>O11*O14</f>
        <v>6000</v>
      </c>
      <c r="P25" s="148" t="s">
        <v>59</v>
      </c>
      <c r="Q25" s="31"/>
      <c r="S25" s="26"/>
      <c r="T25" s="31"/>
      <c r="V25" s="25" t="s">
        <v>60</v>
      </c>
      <c r="Z25" s="141"/>
      <c r="AA25" s="142">
        <f>1200*E21</f>
        <v>1200</v>
      </c>
      <c r="AB25" s="47"/>
      <c r="AD25" s="34"/>
      <c r="AE25" s="32"/>
      <c r="AU25" s="33"/>
      <c r="AV25" s="115" t="s">
        <v>28</v>
      </c>
      <c r="AW25" s="45"/>
      <c r="AX25" s="119">
        <f>AJ69</f>
        <v>2.665895986</v>
      </c>
      <c r="AY25" s="45"/>
      <c r="AZ25" s="31"/>
      <c r="BA25" s="34"/>
      <c r="BB25" s="26"/>
    </row>
    <row r="26" ht="16.5" customHeight="1">
      <c r="A26" s="1"/>
      <c r="B26" s="26"/>
      <c r="C26" s="34"/>
      <c r="D26" s="149"/>
      <c r="E26" s="127"/>
      <c r="F26" s="31"/>
      <c r="G26" s="26"/>
      <c r="H26" s="30"/>
      <c r="I26" s="26"/>
      <c r="J26" s="31"/>
      <c r="L26" s="150" t="s">
        <v>50</v>
      </c>
      <c r="M26" s="150" t="s">
        <v>58</v>
      </c>
      <c r="N26" s="151">
        <f>'REPORT | Inputs.'!CONTRACT_DATE</f>
        <v>46242</v>
      </c>
      <c r="O26" s="152">
        <f>AA22</f>
        <v>1200</v>
      </c>
      <c r="P26" s="148" t="s">
        <v>59</v>
      </c>
      <c r="Q26" s="31"/>
      <c r="S26" s="26"/>
      <c r="T26" s="31"/>
      <c r="V26" s="153" t="s">
        <v>61</v>
      </c>
      <c r="W26" s="44"/>
      <c r="X26" s="44"/>
      <c r="Y26" s="44"/>
      <c r="Z26" s="45"/>
      <c r="AA26" s="154">
        <f>SUM(AA20:AB25)</f>
        <v>41740.16719</v>
      </c>
      <c r="AB26" s="47"/>
      <c r="AD26" s="34"/>
      <c r="AE26" s="32"/>
      <c r="AU26" s="33"/>
      <c r="AV26" s="124" t="s">
        <v>31</v>
      </c>
      <c r="AW26" s="9"/>
      <c r="AX26" s="125">
        <f>AV69</f>
        <v>6.797726583</v>
      </c>
      <c r="AY26" s="9"/>
      <c r="AZ26" s="31"/>
      <c r="BA26" s="34"/>
      <c r="BB26" s="26"/>
    </row>
    <row r="27" ht="17.25" customHeight="1">
      <c r="A27" s="1"/>
      <c r="B27" s="26"/>
      <c r="C27" s="34"/>
      <c r="D27" s="24" t="s">
        <v>62</v>
      </c>
      <c r="E27" s="155">
        <v>0.95</v>
      </c>
      <c r="F27" s="31"/>
      <c r="G27" s="26"/>
      <c r="H27" s="30"/>
      <c r="I27" s="26"/>
      <c r="J27" s="31"/>
      <c r="L27" s="150" t="s">
        <v>63</v>
      </c>
      <c r="M27" s="150" t="s">
        <v>58</v>
      </c>
      <c r="N27" s="151">
        <f>'REPORT | Inputs.'!CONTRACT_DATE</f>
        <v>46242</v>
      </c>
      <c r="O27" s="156">
        <v>800.0</v>
      </c>
      <c r="P27" s="148" t="s">
        <v>59</v>
      </c>
      <c r="Q27" s="31"/>
      <c r="S27" s="26"/>
      <c r="T27" s="31"/>
      <c r="V27" s="59" t="s">
        <v>64</v>
      </c>
      <c r="W27" s="80"/>
      <c r="X27" s="80"/>
      <c r="Y27" s="80"/>
      <c r="Z27" s="80"/>
      <c r="AA27" s="157">
        <v>1100.0</v>
      </c>
      <c r="AB27" s="158"/>
      <c r="AD27" s="34"/>
      <c r="AE27" s="32"/>
      <c r="AU27" s="33"/>
      <c r="AV27" s="159" t="s">
        <v>65</v>
      </c>
      <c r="AW27" s="44"/>
      <c r="AX27" s="44"/>
      <c r="AY27" s="45"/>
      <c r="AZ27" s="31"/>
      <c r="BA27" s="34"/>
      <c r="BB27" s="26"/>
    </row>
    <row r="28" ht="17.25" customHeight="1">
      <c r="A28" s="1"/>
      <c r="B28" s="26"/>
      <c r="C28" s="34"/>
      <c r="D28" s="69" t="s">
        <v>66</v>
      </c>
      <c r="E28" s="76" t="s">
        <v>67</v>
      </c>
      <c r="F28" s="31"/>
      <c r="G28" s="26"/>
      <c r="H28" s="30"/>
      <c r="I28" s="26"/>
      <c r="J28" s="31"/>
      <c r="L28" s="52" t="s">
        <v>68</v>
      </c>
      <c r="M28" s="150" t="s">
        <v>58</v>
      </c>
      <c r="N28" s="151">
        <f>'REPORT | Inputs.'!CONTRACT_DATE</f>
        <v>46242</v>
      </c>
      <c r="O28" s="156">
        <v>600.0</v>
      </c>
      <c r="P28" s="148" t="s">
        <v>59</v>
      </c>
      <c r="Q28" s="31"/>
      <c r="S28" s="26"/>
      <c r="T28" s="31"/>
      <c r="V28" s="160" t="str">
        <f>IF(AJ14="P&amp;I",IF(AB50="","Principal Payments - I/O Period","Principal Payments"),"Principal Payments - N/A")</f>
        <v>Principal Payments - N/A</v>
      </c>
      <c r="AA28" s="74">
        <f>IF(AB50="",0, IF('REPORT | Inputs.'!Loan_Type="P&amp;I",-CUMPRINC('REPORT | Inputs.'!Loan_Rate_Y1/12,('REPORT | Inputs.'!Loan_Term*12)-((AB46-1)*12),('REPORT | Inputs.'!PRICE*'REPORT | Inputs.'!LVR),1,12,0),0))</f>
        <v>6679.235385</v>
      </c>
      <c r="AB28" s="31"/>
      <c r="AD28" s="34"/>
      <c r="AE28" s="32"/>
      <c r="AU28" s="33"/>
      <c r="AV28" s="161" t="str">
        <f t="array" ref="AV28">INDEX(AB46:AY46,1,MATCH(TRUE,AB69:AY69&gt;1,0))&amp;" years"</f>
        <v>3 years</v>
      </c>
      <c r="AW28" s="21"/>
      <c r="AX28" s="21"/>
      <c r="AY28" s="22"/>
      <c r="AZ28" s="31"/>
      <c r="BA28" s="34"/>
      <c r="BB28" s="26"/>
    </row>
    <row r="29" ht="16.5" customHeight="1">
      <c r="A29" s="1"/>
      <c r="B29" s="26"/>
      <c r="C29" s="34"/>
      <c r="D29" s="69" t="s">
        <v>69</v>
      </c>
      <c r="E29" s="162">
        <v>0.0625</v>
      </c>
      <c r="F29" s="31"/>
      <c r="G29" s="26"/>
      <c r="H29" s="30"/>
      <c r="I29" s="26"/>
      <c r="J29" s="31"/>
      <c r="L29" s="150" t="s">
        <v>70</v>
      </c>
      <c r="M29" s="150" t="s">
        <v>58</v>
      </c>
      <c r="N29" s="151">
        <f>'REPORT | Inputs.'!CONTRACT_DATE</f>
        <v>46242</v>
      </c>
      <c r="O29" s="156">
        <v>0.0</v>
      </c>
      <c r="P29" s="148" t="s">
        <v>59</v>
      </c>
      <c r="Q29" s="31"/>
      <c r="S29" s="26"/>
      <c r="T29" s="31"/>
      <c r="V29" s="163" t="s">
        <v>71</v>
      </c>
      <c r="W29" s="8"/>
      <c r="X29" s="8"/>
      <c r="Y29" s="8"/>
      <c r="Z29" s="9"/>
      <c r="AA29" s="107">
        <f>SUM(AA27:AB28)</f>
        <v>7779.235385</v>
      </c>
      <c r="AB29" s="108"/>
      <c r="AD29" s="34"/>
      <c r="AE29" s="36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37"/>
      <c r="AV29" s="84"/>
      <c r="AW29" s="55"/>
      <c r="AX29" s="55"/>
      <c r="AY29" s="85"/>
      <c r="AZ29" s="31"/>
      <c r="BA29" s="34"/>
      <c r="BB29" s="26"/>
    </row>
    <row r="30" ht="17.25" customHeight="1">
      <c r="A30" s="1"/>
      <c r="B30" s="26"/>
      <c r="C30" s="34"/>
      <c r="D30" s="143" t="s">
        <v>72</v>
      </c>
      <c r="E30" s="164">
        <v>30.0</v>
      </c>
      <c r="F30" s="31"/>
      <c r="G30" s="26"/>
      <c r="H30" s="30"/>
      <c r="I30" s="26"/>
      <c r="J30" s="31"/>
      <c r="L30" s="58"/>
      <c r="Q30" s="31"/>
      <c r="S30" s="26"/>
      <c r="T30" s="31"/>
      <c r="V30" s="25" t="s">
        <v>73</v>
      </c>
      <c r="AA30" s="142">
        <v>0.0</v>
      </c>
      <c r="AB30" s="47"/>
      <c r="AD30" s="34"/>
      <c r="AE30" s="165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31"/>
      <c r="BA30" s="34"/>
      <c r="BB30" s="26"/>
    </row>
    <row r="31" ht="17.25" customHeight="1">
      <c r="A31" s="1"/>
      <c r="B31" s="26"/>
      <c r="C31" s="34"/>
      <c r="D31" s="69"/>
      <c r="E31" s="166"/>
      <c r="F31" s="31"/>
      <c r="G31" s="26"/>
      <c r="H31" s="30"/>
      <c r="I31" s="26"/>
      <c r="J31" s="31"/>
      <c r="L31" s="140" t="s">
        <v>74</v>
      </c>
      <c r="M31" s="140"/>
      <c r="N31" s="167"/>
      <c r="O31" s="140"/>
      <c r="P31" s="140"/>
      <c r="Q31" s="31"/>
      <c r="S31" s="26"/>
      <c r="T31" s="31"/>
      <c r="V31" s="163" t="s">
        <v>75</v>
      </c>
      <c r="W31" s="8"/>
      <c r="X31" s="8"/>
      <c r="Y31" s="8"/>
      <c r="Z31" s="9"/>
      <c r="AA31" s="107">
        <f>-AA30</f>
        <v>0</v>
      </c>
      <c r="AB31" s="108"/>
      <c r="AD31" s="34"/>
      <c r="AE31" s="168" t="s">
        <v>76</v>
      </c>
      <c r="AF31" s="8"/>
      <c r="AG31" s="8"/>
      <c r="AH31" s="8"/>
      <c r="AI31" s="8"/>
      <c r="AJ31" s="8"/>
      <c r="AK31" s="8"/>
      <c r="AL31" s="8"/>
      <c r="AM31" s="8"/>
      <c r="AN31" s="9"/>
      <c r="AO31" s="58"/>
      <c r="AP31" s="169" t="s">
        <v>77</v>
      </c>
      <c r="AQ31" s="8"/>
      <c r="AR31" s="8"/>
      <c r="AS31" s="8"/>
      <c r="AT31" s="8"/>
      <c r="AU31" s="8"/>
      <c r="AV31" s="8"/>
      <c r="AW31" s="8"/>
      <c r="AX31" s="8"/>
      <c r="AY31" s="9"/>
      <c r="AZ31" s="31"/>
      <c r="BA31" s="34"/>
      <c r="BB31" s="26"/>
    </row>
    <row r="32" ht="15.0" customHeight="1">
      <c r="A32" s="1"/>
      <c r="B32" s="26"/>
      <c r="C32" s="34"/>
      <c r="D32" s="170" t="s">
        <v>78</v>
      </c>
      <c r="E32" s="171">
        <f>E16*E27</f>
        <v>570000</v>
      </c>
      <c r="F32" s="31"/>
      <c r="G32" s="26"/>
      <c r="H32" s="30"/>
      <c r="I32" s="26"/>
      <c r="J32" s="31"/>
      <c r="L32" s="150" t="s">
        <v>79</v>
      </c>
      <c r="M32" s="150" t="s">
        <v>80</v>
      </c>
      <c r="N32" s="151">
        <f>P$8+E$24</f>
        <v>46263</v>
      </c>
      <c r="O32" s="156">
        <f>MAX(O11*O15,0)</f>
        <v>0</v>
      </c>
      <c r="P32" s="148" t="s">
        <v>59</v>
      </c>
      <c r="Q32" s="31"/>
      <c r="S32" s="26"/>
      <c r="T32" s="31"/>
      <c r="V32" s="172" t="s">
        <v>81</v>
      </c>
      <c r="W32" s="80"/>
      <c r="X32" s="80"/>
      <c r="Y32" s="80"/>
      <c r="Z32" s="81"/>
      <c r="AA32" s="173">
        <f>AA26+AA29+AA31</f>
        <v>49519.40258</v>
      </c>
      <c r="AB32" s="81"/>
      <c r="AD32" s="34"/>
      <c r="AE32" s="58"/>
      <c r="AP32" s="174"/>
      <c r="AZ32" s="31"/>
      <c r="BA32" s="34"/>
      <c r="BB32" s="26"/>
    </row>
    <row r="33" ht="16.5" customHeight="1">
      <c r="A33" s="1"/>
      <c r="B33" s="26"/>
      <c r="C33" s="34"/>
      <c r="D33" s="69" t="s">
        <v>82</v>
      </c>
      <c r="E33" s="175">
        <v>500000.0</v>
      </c>
      <c r="F33" s="31"/>
      <c r="G33" s="26"/>
      <c r="H33" s="30"/>
      <c r="I33" s="26"/>
      <c r="J33" s="31"/>
      <c r="L33" s="58"/>
      <c r="Q33" s="31"/>
      <c r="S33" s="26"/>
      <c r="T33" s="31"/>
      <c r="V33" s="84"/>
      <c r="W33" s="55"/>
      <c r="X33" s="55"/>
      <c r="Y33" s="55"/>
      <c r="Z33" s="85"/>
      <c r="AA33" s="84"/>
      <c r="AB33" s="85"/>
      <c r="AD33" s="34"/>
      <c r="AZ33" s="31"/>
      <c r="BA33" s="34"/>
      <c r="BB33" s="26"/>
    </row>
    <row r="34" ht="16.5" customHeight="1">
      <c r="A34" s="1"/>
      <c r="B34" s="26"/>
      <c r="C34" s="34"/>
      <c r="D34" s="69" t="s">
        <v>83</v>
      </c>
      <c r="E34" s="176">
        <f>E33-E32</f>
        <v>-70000</v>
      </c>
      <c r="F34" s="31"/>
      <c r="G34" s="26"/>
      <c r="H34" s="30"/>
      <c r="I34" s="26"/>
      <c r="J34" s="31"/>
      <c r="L34" s="140" t="s">
        <v>84</v>
      </c>
      <c r="M34" s="177"/>
      <c r="N34" s="167"/>
      <c r="O34" s="177"/>
      <c r="P34" s="167"/>
      <c r="Q34" s="31"/>
      <c r="S34" s="26"/>
      <c r="T34" s="31"/>
      <c r="V34" s="58"/>
      <c r="AD34" s="34"/>
      <c r="AZ34" s="31"/>
      <c r="BA34" s="34"/>
      <c r="BB34" s="26"/>
    </row>
    <row r="35" ht="16.5" customHeight="1">
      <c r="A35" s="1"/>
      <c r="B35" s="26"/>
      <c r="C35" s="34"/>
      <c r="D35" s="69"/>
      <c r="E35" s="178"/>
      <c r="F35" s="31"/>
      <c r="G35" s="26"/>
      <c r="H35" s="30"/>
      <c r="I35" s="26"/>
      <c r="J35" s="31"/>
      <c r="L35" s="52" t="s">
        <v>85</v>
      </c>
      <c r="M35" s="52" t="s">
        <v>84</v>
      </c>
      <c r="N35" s="179">
        <f t="shared" ref="N35:N41" si="1">P$8+E$25</f>
        <v>46284</v>
      </c>
      <c r="O35" s="180">
        <f>O11-((100%-O13)*MIN(O11:O12))-O25-O32</f>
        <v>24000</v>
      </c>
      <c r="P35" s="148" t="s">
        <v>59</v>
      </c>
      <c r="Q35" s="31"/>
      <c r="S35" s="26"/>
      <c r="T35" s="31"/>
      <c r="V35" s="181" t="s">
        <v>86</v>
      </c>
      <c r="W35" s="182"/>
      <c r="X35" s="182"/>
      <c r="Y35" s="182"/>
      <c r="Z35" s="182"/>
      <c r="AA35" s="182"/>
      <c r="AB35" s="183"/>
      <c r="AD35" s="34"/>
      <c r="AZ35" s="31"/>
      <c r="BA35" s="34"/>
      <c r="BB35" s="26"/>
    </row>
    <row r="36" ht="16.5" customHeight="1">
      <c r="A36" s="1"/>
      <c r="B36" s="26"/>
      <c r="C36" s="34"/>
      <c r="D36" s="143" t="s">
        <v>87</v>
      </c>
      <c r="E36" s="184">
        <v>120000.0</v>
      </c>
      <c r="F36" s="31"/>
      <c r="G36" s="26"/>
      <c r="H36" s="30"/>
      <c r="I36" s="26"/>
      <c r="J36" s="31"/>
      <c r="L36" s="185" t="str">
        <f>HYPERLINK("https://stampduty.calculatorsaustralia.com.au/","Stamp Duty Estimate: (Check By Clicking here)")</f>
        <v>Stamp Duty Estimate: (Check By Clicking here)</v>
      </c>
      <c r="M36" s="150" t="s">
        <v>84</v>
      </c>
      <c r="N36" s="186">
        <f t="shared" si="1"/>
        <v>46284</v>
      </c>
      <c r="O36" s="187">
        <f>IFERROR(ROUND(VLOOKUP(O11,CHOOSE(VLOOKUP('REPORT | Inputs.'!STATE,'Stamp_Duty &amp; LMI'!$P$3:$Q$8,2,FALSE),NSW_Duty,Qld_Duty,Vic_Duty,WA_Duty,TAS_Duty,SA_Duty),4,TRUE)+(O11-VLOOKUP(O11,CHOOSE(VLOOKUP('REPORT | Inputs.'!STATE,'Stamp_Duty &amp; LMI'!$P$3:$Q$8,2,FALSE),NSW_Duty,Qld_Duty,Vic_Duty,WA_Duty,TAS_Duty,SA_Duty),2))/VLOOKUP(O11,CHOOSE(VLOOKUP('REPORT | Inputs.'!STATE,'Stamp_Duty &amp; LMI'!$P$3:$Q$8,2,FALSE),NSW_Duty,Qld_Duty,Vic_Duty,WA_Duty,TAS_Duty,SA_Duty),6)*VLOOKUP(O11,CHOOSE(VLOOKUP('REPORT | Inputs.'!STATE,'Stamp_Duty &amp; LMI'!$P$3:$Q$8,2,FALSE),NSW_Duty,Qld_Duty,Vic_Duty,WA_Duty,TAS_Duty,SA_Duty),5),0),"Use &lt;&lt; link to calculate")</f>
        <v>31070</v>
      </c>
      <c r="P36" s="148" t="s">
        <v>59</v>
      </c>
      <c r="Q36" s="31"/>
      <c r="S36" s="26"/>
      <c r="T36" s="31"/>
      <c r="V36" s="188" t="s">
        <v>88</v>
      </c>
      <c r="W36" s="8"/>
      <c r="X36" s="8"/>
      <c r="Y36" s="8"/>
      <c r="Z36" s="8"/>
      <c r="AA36" s="8"/>
      <c r="AB36" s="9"/>
      <c r="AD36" s="34"/>
      <c r="AZ36" s="31"/>
      <c r="BA36" s="34"/>
      <c r="BB36" s="26"/>
    </row>
    <row r="37" ht="16.5" customHeight="1">
      <c r="A37" s="1"/>
      <c r="B37" s="26"/>
      <c r="C37" s="34"/>
      <c r="D37" s="189" t="s">
        <v>89</v>
      </c>
      <c r="E37" s="190">
        <f>P62</f>
        <v>83673</v>
      </c>
      <c r="F37" s="31"/>
      <c r="G37" s="26"/>
      <c r="H37" s="30"/>
      <c r="I37" s="26"/>
      <c r="J37" s="31"/>
      <c r="L37" s="185" t="str">
        <f>HYPERLINK("https://www.genworth.com.au/lenders/lmi-tools/lmi-premium-estimator/","Lenders Mortgage Insurance")</f>
        <v>Lenders Mortgage Insurance</v>
      </c>
      <c r="M37" s="150" t="s">
        <v>84</v>
      </c>
      <c r="N37" s="186">
        <f t="shared" si="1"/>
        <v>46284</v>
      </c>
      <c r="O37" s="191">
        <f>IF(AND(O13&lt;20%,O11*(100%-O13)&gt;'Stamp_Duty &amp; LMI'!$L$2),VLOOKUP(100%-O13,'Stamp_Duty &amp; LMI'!$J$3:$M$10,4,TRUE)*(O11*(100%-O13)),IF(AND(O13&lt;20%,O11*(100%-O13)&lt;'Stamp_Duty &amp; LMI'!$L$2),VLOOKUP(100%-O13,'Stamp_Duty &amp; LMI'!$J$3:$M$10,3,TRUE)*(O11*(100%-O13)),0))</f>
        <v>13053</v>
      </c>
      <c r="P37" s="192" t="s">
        <v>59</v>
      </c>
      <c r="Q37" s="31"/>
      <c r="S37" s="26"/>
      <c r="T37" s="31"/>
      <c r="V37" s="193" t="s">
        <v>90</v>
      </c>
      <c r="W37" s="80"/>
      <c r="X37" s="80"/>
      <c r="Y37" s="194">
        <v>0.07</v>
      </c>
      <c r="Z37" s="193" t="s">
        <v>91</v>
      </c>
      <c r="AA37" s="80"/>
      <c r="AB37" s="195">
        <f>E29</f>
        <v>0.0625</v>
      </c>
      <c r="AD37" s="34"/>
      <c r="AZ37" s="31"/>
      <c r="BA37" s="34"/>
      <c r="BB37" s="26"/>
    </row>
    <row r="38" ht="16.5" customHeight="1">
      <c r="A38" s="1"/>
      <c r="B38" s="26"/>
      <c r="C38" s="34"/>
      <c r="D38" s="189" t="s">
        <v>92</v>
      </c>
      <c r="E38" s="176">
        <f>E36-E37</f>
        <v>36327</v>
      </c>
      <c r="F38" s="31"/>
      <c r="G38" s="26"/>
      <c r="H38" s="30"/>
      <c r="I38" s="26"/>
      <c r="J38" s="31"/>
      <c r="L38" s="150" t="s">
        <v>93</v>
      </c>
      <c r="M38" s="150" t="s">
        <v>84</v>
      </c>
      <c r="N38" s="186">
        <f t="shared" si="1"/>
        <v>46284</v>
      </c>
      <c r="O38" s="156">
        <v>750.0</v>
      </c>
      <c r="P38" s="148" t="s">
        <v>59</v>
      </c>
      <c r="Q38" s="31"/>
      <c r="S38" s="26"/>
      <c r="T38" s="31"/>
      <c r="V38" s="196" t="s">
        <v>94</v>
      </c>
      <c r="W38" s="55"/>
      <c r="X38" s="55"/>
      <c r="Y38" s="197">
        <v>0.06</v>
      </c>
      <c r="Z38" s="196" t="s">
        <v>95</v>
      </c>
      <c r="AA38" s="55"/>
      <c r="AB38" s="198">
        <f>AVERAGE(AB52:AY52)</f>
        <v>0.061</v>
      </c>
      <c r="AD38" s="34"/>
      <c r="AZ38" s="31"/>
      <c r="BA38" s="34"/>
      <c r="BB38" s="26"/>
    </row>
    <row r="39" ht="16.5" customHeight="1">
      <c r="A39" s="1"/>
      <c r="B39" s="26"/>
      <c r="C39" s="199"/>
      <c r="D39" s="143"/>
      <c r="E39" s="55"/>
      <c r="F39" s="200"/>
      <c r="G39" s="26"/>
      <c r="H39" s="30"/>
      <c r="I39" s="26"/>
      <c r="J39" s="31"/>
      <c r="L39" s="150" t="s">
        <v>96</v>
      </c>
      <c r="M39" s="150" t="s">
        <v>84</v>
      </c>
      <c r="N39" s="186">
        <f t="shared" si="1"/>
        <v>46284</v>
      </c>
      <c r="O39" s="156">
        <v>1200.0</v>
      </c>
      <c r="P39" s="148" t="s">
        <v>59</v>
      </c>
      <c r="Q39" s="31"/>
      <c r="S39" s="26"/>
      <c r="T39" s="31"/>
      <c r="V39" s="201" t="s">
        <v>97</v>
      </c>
      <c r="W39" s="44"/>
      <c r="X39" s="44"/>
      <c r="Y39" s="44"/>
      <c r="Z39" s="44"/>
      <c r="AA39" s="44"/>
      <c r="AB39" s="45"/>
      <c r="AD39" s="34"/>
      <c r="AZ39" s="31"/>
      <c r="BA39" s="34"/>
      <c r="BB39" s="26"/>
    </row>
    <row r="40" ht="16.5" customHeight="1">
      <c r="A40" s="1"/>
      <c r="B40" s="26"/>
      <c r="C40" s="202"/>
      <c r="D40" s="21"/>
      <c r="E40" s="21"/>
      <c r="F40" s="22"/>
      <c r="G40" s="26"/>
      <c r="H40" s="30"/>
      <c r="I40" s="26"/>
      <c r="J40" s="31"/>
      <c r="L40" s="52" t="s">
        <v>98</v>
      </c>
      <c r="M40" s="150" t="s">
        <v>84</v>
      </c>
      <c r="N40" s="186">
        <f t="shared" si="1"/>
        <v>46284</v>
      </c>
      <c r="O40" s="191">
        <f>AA23*100%</f>
        <v>3000</v>
      </c>
      <c r="P40" s="148" t="s">
        <v>59</v>
      </c>
      <c r="Q40" s="31"/>
      <c r="S40" s="26"/>
      <c r="T40" s="31"/>
      <c r="V40" s="203" t="s">
        <v>38</v>
      </c>
      <c r="W40" s="80"/>
      <c r="X40" s="80"/>
      <c r="Y40" s="204">
        <v>0.08</v>
      </c>
      <c r="Z40" s="205" t="s">
        <v>99</v>
      </c>
      <c r="AA40" s="80"/>
      <c r="AB40" s="204">
        <v>0.063</v>
      </c>
      <c r="AD40" s="34"/>
      <c r="AZ40" s="31"/>
      <c r="BA40" s="34"/>
      <c r="BB40" s="26"/>
    </row>
    <row r="41" ht="16.5" customHeight="1">
      <c r="A41" s="1"/>
      <c r="B41" s="26"/>
      <c r="C41" s="36"/>
      <c r="D41" s="28"/>
      <c r="E41" s="28"/>
      <c r="F41" s="37"/>
      <c r="G41" s="26"/>
      <c r="H41" s="30"/>
      <c r="I41" s="26"/>
      <c r="J41" s="31"/>
      <c r="L41" s="52" t="s">
        <v>100</v>
      </c>
      <c r="M41" s="150" t="s">
        <v>84</v>
      </c>
      <c r="N41" s="186">
        <f t="shared" si="1"/>
        <v>46284</v>
      </c>
      <c r="O41" s="156">
        <v>0.0</v>
      </c>
      <c r="P41" s="148" t="s">
        <v>59</v>
      </c>
      <c r="Q41" s="31"/>
      <c r="S41" s="26"/>
      <c r="T41" s="31"/>
      <c r="V41" s="206" t="s">
        <v>101</v>
      </c>
      <c r="Y41" s="207">
        <v>0.08</v>
      </c>
      <c r="Z41" s="208" t="s">
        <v>102</v>
      </c>
      <c r="AB41" s="207">
        <v>0.063</v>
      </c>
      <c r="AD41" s="34"/>
      <c r="AE41" s="209" t="s">
        <v>103</v>
      </c>
      <c r="AF41" s="8"/>
      <c r="AG41" s="8"/>
      <c r="AH41" s="8"/>
      <c r="AI41" s="9"/>
      <c r="AJ41" s="58"/>
      <c r="AK41" s="210" t="s">
        <v>104</v>
      </c>
      <c r="AL41" s="8"/>
      <c r="AM41" s="8"/>
      <c r="AN41" s="9"/>
      <c r="AP41" s="211" t="s">
        <v>105</v>
      </c>
      <c r="AQ41" s="8"/>
      <c r="AR41" s="8"/>
      <c r="AS41" s="8"/>
      <c r="AT41" s="9"/>
      <c r="AU41" s="58"/>
      <c r="AV41" s="211" t="s">
        <v>106</v>
      </c>
      <c r="AW41" s="8"/>
      <c r="AX41" s="8"/>
      <c r="AY41" s="9"/>
      <c r="AZ41" s="31"/>
      <c r="BA41" s="34"/>
      <c r="BB41" s="26"/>
    </row>
    <row r="42" ht="16.5" customHeight="1">
      <c r="A42" s="1"/>
      <c r="B42" s="26"/>
      <c r="G42" s="26"/>
      <c r="H42" s="30"/>
      <c r="I42" s="26"/>
      <c r="J42" s="31"/>
      <c r="L42" s="58"/>
      <c r="Q42" s="31"/>
      <c r="S42" s="26"/>
      <c r="T42" s="31"/>
      <c r="V42" s="206" t="s">
        <v>107</v>
      </c>
      <c r="Y42" s="207">
        <v>0.08</v>
      </c>
      <c r="Z42" s="208" t="s">
        <v>108</v>
      </c>
      <c r="AB42" s="207">
        <v>0.063</v>
      </c>
      <c r="AD42" s="34"/>
      <c r="AE42" s="212" t="s">
        <v>109</v>
      </c>
      <c r="AF42" s="213">
        <f>AA13/E16</f>
        <v>0.055</v>
      </c>
      <c r="AG42" s="214" t="s">
        <v>110</v>
      </c>
      <c r="AH42" s="215"/>
      <c r="AI42" s="213">
        <f t="shared" ref="AI42:AI44" si="2">AM42/$E$16</f>
        <v>-0.02951298312</v>
      </c>
      <c r="AK42" s="216" t="s">
        <v>110</v>
      </c>
      <c r="AL42" s="45"/>
      <c r="AM42" s="217">
        <f>AB58</f>
        <v>-17707.78987</v>
      </c>
      <c r="AN42" s="45"/>
      <c r="AP42" s="218" t="s">
        <v>111</v>
      </c>
      <c r="AQ42" s="93"/>
      <c r="AR42" s="219">
        <f>AB64</f>
        <v>48000</v>
      </c>
      <c r="AS42" s="220" t="s">
        <v>112</v>
      </c>
      <c r="AT42" s="219">
        <f>AF64/3</f>
        <v>51942.4</v>
      </c>
      <c r="AV42" s="221" t="s">
        <v>113</v>
      </c>
      <c r="AW42" s="93"/>
      <c r="AX42" s="222">
        <f>AF49</f>
        <v>207757.2231</v>
      </c>
      <c r="AY42" s="45"/>
      <c r="AZ42" s="31"/>
      <c r="BA42" s="34"/>
      <c r="BB42" s="26"/>
    </row>
    <row r="43" ht="16.5" customHeight="1">
      <c r="A43" s="1"/>
      <c r="B43" s="26"/>
      <c r="G43" s="26"/>
      <c r="H43" s="30"/>
      <c r="I43" s="26"/>
      <c r="J43" s="31"/>
      <c r="L43" s="140" t="s">
        <v>114</v>
      </c>
      <c r="M43" s="177"/>
      <c r="N43" s="167"/>
      <c r="O43" s="177"/>
      <c r="P43" s="167"/>
      <c r="Q43" s="31"/>
      <c r="S43" s="26"/>
      <c r="T43" s="31"/>
      <c r="V43" s="208" t="s">
        <v>115</v>
      </c>
      <c r="Y43" s="207">
        <v>0.0628</v>
      </c>
      <c r="Z43" s="208" t="s">
        <v>116</v>
      </c>
      <c r="AB43" s="207">
        <v>0.063</v>
      </c>
      <c r="AD43" s="34"/>
      <c r="AE43" s="212" t="s">
        <v>117</v>
      </c>
      <c r="AF43" s="223">
        <f>AJ54</f>
        <v>0.06991433011</v>
      </c>
      <c r="AG43" s="214" t="s">
        <v>118</v>
      </c>
      <c r="AH43" s="215"/>
      <c r="AI43" s="213">
        <f t="shared" si="2"/>
        <v>-0.01654945089</v>
      </c>
      <c r="AK43" s="216" t="s">
        <v>118</v>
      </c>
      <c r="AL43" s="45"/>
      <c r="AM43" s="217">
        <f>AJ58</f>
        <v>-9929.670535</v>
      </c>
      <c r="AN43" s="45"/>
      <c r="AP43" s="224" t="s">
        <v>119</v>
      </c>
      <c r="AQ43" s="45"/>
      <c r="AR43" s="225">
        <f>AJ65</f>
        <v>184124.6343</v>
      </c>
      <c r="AS43" s="226" t="s">
        <v>120</v>
      </c>
      <c r="AT43" s="227">
        <f>AJ64/5</f>
        <v>50780.1233</v>
      </c>
      <c r="AV43" s="228" t="s">
        <v>121</v>
      </c>
      <c r="AW43" s="45"/>
      <c r="AX43" s="222">
        <f>AJ49</f>
        <v>322839.497</v>
      </c>
      <c r="AY43" s="45"/>
      <c r="AZ43" s="31"/>
      <c r="BA43" s="34"/>
      <c r="BB43" s="26"/>
    </row>
    <row r="44" ht="16.5" customHeight="1">
      <c r="A44" s="1"/>
      <c r="B44" s="26"/>
      <c r="G44" s="26"/>
      <c r="H44" s="30"/>
      <c r="I44" s="26"/>
      <c r="J44" s="31"/>
      <c r="L44" s="52" t="s">
        <v>60</v>
      </c>
      <c r="M44" s="52" t="s">
        <v>122</v>
      </c>
      <c r="N44" s="229">
        <f t="shared" ref="N44:N45" si="3">N35+30</f>
        <v>46314</v>
      </c>
      <c r="O44" s="180">
        <v>2000.0</v>
      </c>
      <c r="P44" s="148" t="s">
        <v>59</v>
      </c>
      <c r="Q44" s="31"/>
      <c r="S44" s="26"/>
      <c r="T44" s="31"/>
      <c r="V44" s="230" t="s">
        <v>28</v>
      </c>
      <c r="W44" s="55"/>
      <c r="X44" s="55"/>
      <c r="Y44" s="231">
        <v>0.063</v>
      </c>
      <c r="Z44" s="230" t="s">
        <v>31</v>
      </c>
      <c r="AA44" s="55"/>
      <c r="AB44" s="231">
        <v>0.063</v>
      </c>
      <c r="AD44" s="34"/>
      <c r="AE44" s="232" t="s">
        <v>123</v>
      </c>
      <c r="AF44" s="233">
        <f>AV54</f>
        <v>0.09805846469</v>
      </c>
      <c r="AG44" s="234" t="s">
        <v>124</v>
      </c>
      <c r="AH44" s="235"/>
      <c r="AI44" s="236">
        <f t="shared" si="2"/>
        <v>0.005630638036</v>
      </c>
      <c r="AK44" s="216" t="s">
        <v>124</v>
      </c>
      <c r="AL44" s="45"/>
      <c r="AM44" s="217">
        <f>AV58</f>
        <v>3378.382822</v>
      </c>
      <c r="AN44" s="45"/>
      <c r="AP44" s="237" t="s">
        <v>125</v>
      </c>
      <c r="AQ44" s="9"/>
      <c r="AR44" s="238">
        <f>AV64</f>
        <v>558973.8838</v>
      </c>
      <c r="AS44" s="239" t="s">
        <v>126</v>
      </c>
      <c r="AT44" s="240">
        <f>AV64/10</f>
        <v>55897.38838</v>
      </c>
      <c r="AV44" s="241" t="s">
        <v>127</v>
      </c>
      <c r="AW44" s="9"/>
      <c r="AX44" s="242">
        <f>AV49</f>
        <v>680105.0927</v>
      </c>
      <c r="AY44" s="9"/>
      <c r="AZ44" s="31"/>
      <c r="BA44" s="34"/>
      <c r="BB44" s="26"/>
    </row>
    <row r="45" ht="16.5" customHeight="1">
      <c r="A45" s="1"/>
      <c r="B45" s="26"/>
      <c r="G45" s="26"/>
      <c r="H45" s="30"/>
      <c r="I45" s="26"/>
      <c r="J45" s="31"/>
      <c r="L45" s="52"/>
      <c r="M45" s="52" t="s">
        <v>122</v>
      </c>
      <c r="N45" s="229">
        <f t="shared" si="3"/>
        <v>46314</v>
      </c>
      <c r="O45" s="180"/>
      <c r="P45" s="148" t="s">
        <v>59</v>
      </c>
      <c r="Q45" s="31"/>
      <c r="S45" s="26"/>
      <c r="T45" s="31"/>
      <c r="V45" s="208"/>
      <c r="AZ45" s="31"/>
      <c r="BA45" s="34"/>
      <c r="BB45" s="26"/>
    </row>
    <row r="46" ht="15.75" customHeight="1">
      <c r="A46" s="1"/>
      <c r="B46" s="26"/>
      <c r="G46" s="26"/>
      <c r="H46" s="30"/>
      <c r="I46" s="26"/>
      <c r="J46" s="31"/>
      <c r="L46" s="58"/>
      <c r="Q46" s="31"/>
      <c r="S46" s="26"/>
      <c r="T46" s="31"/>
      <c r="V46" s="243"/>
      <c r="W46" s="8"/>
      <c r="X46" s="8"/>
      <c r="Y46" s="9"/>
      <c r="Z46" s="244" t="s">
        <v>128</v>
      </c>
      <c r="AA46" s="9"/>
      <c r="AB46" s="245">
        <v>1.0</v>
      </c>
      <c r="AC46" s="9"/>
      <c r="AD46" s="245">
        <v>2.0</v>
      </c>
      <c r="AE46" s="9"/>
      <c r="AF46" s="245">
        <v>3.0</v>
      </c>
      <c r="AG46" s="9"/>
      <c r="AH46" s="245">
        <v>4.0</v>
      </c>
      <c r="AI46" s="9"/>
      <c r="AJ46" s="245">
        <v>5.0</v>
      </c>
      <c r="AK46" s="9"/>
      <c r="AL46" s="245">
        <v>6.0</v>
      </c>
      <c r="AM46" s="9"/>
      <c r="AN46" s="245">
        <v>7.0</v>
      </c>
      <c r="AO46" s="8"/>
      <c r="AP46" s="8"/>
      <c r="AQ46" s="9"/>
      <c r="AR46" s="245">
        <v>8.0</v>
      </c>
      <c r="AS46" s="9"/>
      <c r="AT46" s="245">
        <v>9.0</v>
      </c>
      <c r="AU46" s="9"/>
      <c r="AV46" s="245">
        <v>10.0</v>
      </c>
      <c r="AW46" s="8"/>
      <c r="AX46" s="8"/>
      <c r="AY46" s="9"/>
      <c r="AZ46" s="31"/>
      <c r="BA46" s="34"/>
      <c r="BB46" s="26"/>
    </row>
    <row r="47" ht="15.75" customHeight="1">
      <c r="A47" s="1"/>
      <c r="B47" s="26"/>
      <c r="G47" s="26"/>
      <c r="H47" s="30"/>
      <c r="I47" s="26"/>
      <c r="J47" s="31"/>
      <c r="Q47" s="31"/>
      <c r="S47" s="26"/>
      <c r="T47" s="31"/>
      <c r="V47" s="246"/>
      <c r="W47" s="247" t="s">
        <v>129</v>
      </c>
      <c r="X47" s="80"/>
      <c r="Y47" s="80"/>
      <c r="Z47" s="248">
        <f>'REPORT | Inputs.'!VALUATION</f>
        <v>600000</v>
      </c>
      <c r="AA47" s="93"/>
      <c r="AB47" s="249">
        <f>'REPORT | Inputs.'!VALUATION*((1+Y40))+AB92</f>
        <v>648000</v>
      </c>
      <c r="AC47" s="80"/>
      <c r="AD47" s="249">
        <f>AB47*((1+Y41))+AD92</f>
        <v>699840</v>
      </c>
      <c r="AE47" s="80"/>
      <c r="AF47" s="249">
        <f>AD47*((1+Y42))+ AF92</f>
        <v>755827.2</v>
      </c>
      <c r="AG47" s="80"/>
      <c r="AH47" s="249">
        <f>AF47*((1+Y43))+AH92</f>
        <v>803293.1482</v>
      </c>
      <c r="AI47" s="80"/>
      <c r="AJ47" s="250">
        <f>AH47*((1+Y44))+AJ92</f>
        <v>853900.6165</v>
      </c>
      <c r="AK47" s="93"/>
      <c r="AL47" s="249">
        <f>AJ47*((1+AB40))+AL92</f>
        <v>907696.3553</v>
      </c>
      <c r="AM47" s="80"/>
      <c r="AN47" s="249">
        <f>AL47*((1+AB41))+AN92</f>
        <v>964881.2257</v>
      </c>
      <c r="AO47" s="80"/>
      <c r="AP47" s="80"/>
      <c r="AQ47" s="80"/>
      <c r="AR47" s="249">
        <f>AN47*((1+AB42))+AR92</f>
        <v>1025668.743</v>
      </c>
      <c r="AS47" s="80"/>
      <c r="AT47" s="249">
        <f>AR47*((1+AB43))+AT92</f>
        <v>1090285.874</v>
      </c>
      <c r="AU47" s="80"/>
      <c r="AV47" s="250">
        <f>AT47*((1+AB44))+ AV92</f>
        <v>1158973.884</v>
      </c>
      <c r="AW47" s="251"/>
      <c r="AX47" s="251"/>
      <c r="AY47" s="158"/>
      <c r="AZ47" s="31"/>
      <c r="BA47" s="34"/>
      <c r="BB47" s="26"/>
    </row>
    <row r="48" ht="18.0" customHeight="1">
      <c r="A48" s="1"/>
      <c r="B48" s="26"/>
      <c r="G48" s="26"/>
      <c r="H48" s="30"/>
      <c r="I48" s="26"/>
      <c r="J48" s="31"/>
      <c r="Q48" s="31"/>
      <c r="S48" s="26"/>
      <c r="T48" s="31"/>
      <c r="V48" s="252"/>
      <c r="W48" s="24" t="s">
        <v>130</v>
      </c>
      <c r="Z48" s="253">
        <f>P11</f>
        <v>570000</v>
      </c>
      <c r="AA48" s="45"/>
      <c r="AB48" s="254">
        <f>Z48-AB50</f>
        <v>563129.9927</v>
      </c>
      <c r="AD48" s="254">
        <f>AB48-AD50</f>
        <v>555828.9976</v>
      </c>
      <c r="AF48" s="254">
        <f>AD48-AF50</f>
        <v>548069.9769</v>
      </c>
      <c r="AH48" s="254">
        <f>AF48-AH50</f>
        <v>539824.1964</v>
      </c>
      <c r="AJ48" s="255">
        <f>AH48-AJ50</f>
        <v>531061.1195</v>
      </c>
      <c r="AK48" s="45"/>
      <c r="AL48" s="254">
        <f>AJ48-AL50</f>
        <v>521748.2936</v>
      </c>
      <c r="AN48" s="254">
        <f>AL48-AN50</f>
        <v>511851.2305</v>
      </c>
      <c r="AR48" s="254">
        <f>AN48-AN50</f>
        <v>501954.1673</v>
      </c>
      <c r="AT48" s="254">
        <f>AR48-AT50</f>
        <v>490762.5311</v>
      </c>
      <c r="AV48" s="255">
        <f>AT48-AV50</f>
        <v>478868.7911</v>
      </c>
      <c r="AW48" s="44"/>
      <c r="AX48" s="44"/>
      <c r="AY48" s="47"/>
      <c r="AZ48" s="31"/>
      <c r="BA48" s="34"/>
      <c r="BB48" s="26"/>
    </row>
    <row r="49" ht="19.5" customHeight="1">
      <c r="A49" s="1"/>
      <c r="B49" s="26"/>
      <c r="G49" s="26"/>
      <c r="H49" s="30"/>
      <c r="I49" s="26"/>
      <c r="J49" s="31"/>
      <c r="L49" s="111" t="s">
        <v>43</v>
      </c>
      <c r="M49" s="21"/>
      <c r="N49" s="21"/>
      <c r="O49" s="21"/>
      <c r="P49" s="22"/>
      <c r="Q49" s="31"/>
      <c r="S49" s="26"/>
      <c r="T49" s="31"/>
      <c r="V49" s="246"/>
      <c r="W49" s="24" t="s">
        <v>106</v>
      </c>
      <c r="Z49" s="253">
        <f>Z47-Z48</f>
        <v>30000</v>
      </c>
      <c r="AA49" s="45"/>
      <c r="AB49" s="254">
        <f>AB47-AB48</f>
        <v>84870.00729</v>
      </c>
      <c r="AD49" s="254">
        <f>AD47-AD48</f>
        <v>144011.0024</v>
      </c>
      <c r="AF49" s="254">
        <f>AF47-AF48</f>
        <v>207757.2231</v>
      </c>
      <c r="AH49" s="254">
        <f>AH47-AH48</f>
        <v>263468.9517</v>
      </c>
      <c r="AJ49" s="255">
        <f>AJ47-AJ48</f>
        <v>322839.497</v>
      </c>
      <c r="AK49" s="45"/>
      <c r="AL49" s="254">
        <f>AL47-AL48</f>
        <v>385948.0618</v>
      </c>
      <c r="AN49" s="254">
        <f>AN47-AN48</f>
        <v>453029.9953</v>
      </c>
      <c r="AR49" s="254">
        <f>AR47-AR48</f>
        <v>523714.5756</v>
      </c>
      <c r="AT49" s="254">
        <f>AT47-AT48</f>
        <v>599523.3426</v>
      </c>
      <c r="AV49" s="255">
        <f>AV47-AV48</f>
        <v>680105.0927</v>
      </c>
      <c r="AW49" s="44"/>
      <c r="AX49" s="44"/>
      <c r="AY49" s="47"/>
      <c r="AZ49" s="31"/>
      <c r="BA49" s="34"/>
      <c r="BB49" s="26"/>
    </row>
    <row r="50" ht="16.5" customHeight="1">
      <c r="A50" s="1"/>
      <c r="B50" s="26"/>
      <c r="G50" s="26"/>
      <c r="H50" s="30"/>
      <c r="I50" s="26"/>
      <c r="J50" s="31"/>
      <c r="L50" s="113"/>
      <c r="M50" s="96"/>
      <c r="N50" s="96"/>
      <c r="O50" s="96"/>
      <c r="P50" s="114"/>
      <c r="Q50" s="31"/>
      <c r="S50" s="26"/>
      <c r="T50" s="31"/>
      <c r="V50" s="256"/>
      <c r="W50" s="24" t="str">
        <f>IF($E$28="P&amp;I","Principal Payments","Principal Payments - N/A")</f>
        <v>Principal Payments</v>
      </c>
      <c r="Z50" s="253"/>
      <c r="AA50" s="45"/>
      <c r="AB50" s="254">
        <f>IF($E$28="P&amp;I",-CUMPRINC('REPORT | Inputs.'!Loan_Rate_10Y_Avg/12,($E$30*12)-((AB46-1)*12),Z48,1,12,0),0)</f>
        <v>6870.007294</v>
      </c>
      <c r="AD50" s="254">
        <f>IF($E$28="P&amp;I",-CUMPRINC('REPORT | Inputs.'!Loan_Rate_10Y_Avg/12,($E$30*12)-((AD46-1)*12),AB48,1,12,0),0)</f>
        <v>7300.995069</v>
      </c>
      <c r="AF50" s="254">
        <f>IF($E$28="P&amp;I",-CUMPRINC('REPORT | Inputs.'!Loan_Rate_10Y_Avg/12,($E$30*12)-((AF46-1)*12),AD48,1,12,0),0)</f>
        <v>7759.020728</v>
      </c>
      <c r="AH50" s="254">
        <f>IF($E$28="P&amp;I",-CUMPRINC('REPORT | Inputs.'!Loan_Rate_10Y_Avg/12,($E$30*12)-((AH46-1)*12),AF48,1,12,0),0)</f>
        <v>8245.780485</v>
      </c>
      <c r="AJ50" s="255">
        <f>IF($E$28="P&amp;I",-CUMPRINC('REPORT | Inputs.'!Loan_Rate_10Y_Avg/12,($E$30*12)-((AJ46-1)*12),AH48,1,12,0),0)</f>
        <v>8763.076965</v>
      </c>
      <c r="AK50" s="45"/>
      <c r="AL50" s="254">
        <f>IF($E$28="P&amp;I",-CUMPRINC('REPORT | Inputs.'!Loan_Rate_10Y_Avg/12,($E$30*12)-((AL46-1)*12),AJ48,1,12,0),0)</f>
        <v>9312.825878</v>
      </c>
      <c r="AN50" s="254">
        <f>IF($E$28="P&amp;I",-CUMPRINC('REPORT | Inputs.'!Loan_Rate_10Y_Avg/12,($E$30*12)-((AN46-1)*12),AL48,1,12,0),0)</f>
        <v>9897.063119</v>
      </c>
      <c r="AR50" s="254">
        <f>IF($E$28="P&amp;I",-CUMPRINC('REPORT | Inputs.'!Loan_Rate_10Y_Avg/12,($E$30*12)-((AR46-1)*12),AN48,1,12,0),0)</f>
        <v>10517.9523</v>
      </c>
      <c r="AT50" s="254">
        <f>IF($E$28="P&amp;I",-CUMPRINC('REPORT | Inputs.'!Loan_Rate_10Y_Avg/12,($E$30*12)-((AT46-1)*12),AR48,1,12,0),0)</f>
        <v>11191.6362</v>
      </c>
      <c r="AV50" s="255">
        <f>IF($E$28="P&amp;I",-CUMPRINC('REPORT | Inputs.'!Loan_Rate_10Y_Avg/12,($E$30*12)-((AV46-1)*12),AT48,1,12,0),0)</f>
        <v>11893.74002</v>
      </c>
      <c r="AW50" s="44"/>
      <c r="AX50" s="44"/>
      <c r="AY50" s="47"/>
      <c r="AZ50" s="31"/>
      <c r="BA50" s="34"/>
      <c r="BB50" s="26"/>
    </row>
    <row r="51" ht="15.0" customHeight="1">
      <c r="A51" s="1"/>
      <c r="B51" s="26"/>
      <c r="G51" s="26"/>
      <c r="H51" s="30"/>
      <c r="I51" s="26"/>
      <c r="J51" s="31"/>
      <c r="L51" s="24"/>
      <c r="Q51" s="31"/>
      <c r="S51" s="26"/>
      <c r="T51" s="31"/>
      <c r="V51" s="256"/>
      <c r="W51" s="24" t="s">
        <v>131</v>
      </c>
      <c r="Z51" s="253"/>
      <c r="AA51" s="45"/>
      <c r="AB51" s="254">
        <f>AB50</f>
        <v>6870.007294</v>
      </c>
      <c r="AD51" s="254">
        <f>SUM($AB50:AE50)</f>
        <v>14171.00236</v>
      </c>
      <c r="AF51" s="254">
        <f>SUM($AB50:AG50)</f>
        <v>21930.02309</v>
      </c>
      <c r="AH51" s="254">
        <f>SUM($AB50:AI50)</f>
        <v>30175.80358</v>
      </c>
      <c r="AJ51" s="255">
        <f>SUM($AB50:AK50)</f>
        <v>38938.88054</v>
      </c>
      <c r="AK51" s="45"/>
      <c r="AL51" s="254">
        <f>SUM($AB50:AM50)</f>
        <v>48251.70642</v>
      </c>
      <c r="AN51" s="254">
        <f>SUM($AB50:AO50)</f>
        <v>58148.76954</v>
      </c>
      <c r="AR51" s="254">
        <f>SUM($AB50:AS50)</f>
        <v>68666.72184</v>
      </c>
      <c r="AT51" s="254">
        <f>SUM($AB50:AU50)</f>
        <v>79858.35804</v>
      </c>
      <c r="AV51" s="255">
        <f>SUM($AB50:AW50)</f>
        <v>91752.09807</v>
      </c>
      <c r="AW51" s="44"/>
      <c r="AX51" s="44"/>
      <c r="AY51" s="47"/>
      <c r="AZ51" s="31"/>
      <c r="BA51" s="34"/>
      <c r="BB51" s="26"/>
    </row>
    <row r="52" ht="15.0" customHeight="1">
      <c r="A52" s="1"/>
      <c r="B52" s="26"/>
      <c r="G52" s="26"/>
      <c r="H52" s="30"/>
      <c r="I52" s="26"/>
      <c r="J52" s="31"/>
      <c r="L52" s="257" t="s">
        <v>132</v>
      </c>
      <c r="M52" s="258"/>
      <c r="N52" s="24"/>
      <c r="O52" s="257" t="s">
        <v>133</v>
      </c>
      <c r="P52" s="258"/>
      <c r="Q52" s="31"/>
      <c r="S52" s="26"/>
      <c r="T52" s="31"/>
      <c r="V52" s="67"/>
      <c r="W52" s="259" t="s">
        <v>134</v>
      </c>
      <c r="X52" s="44"/>
      <c r="Y52" s="45"/>
      <c r="Z52" s="260">
        <f>AVERAGE(AB52:AY52)</f>
        <v>0.061</v>
      </c>
      <c r="AA52" s="261"/>
      <c r="AB52" s="262">
        <f>$E$29</f>
        <v>0.0625</v>
      </c>
      <c r="AC52" s="45"/>
      <c r="AD52" s="263">
        <v>0.06</v>
      </c>
      <c r="AE52" s="45"/>
      <c r="AF52" s="263">
        <v>0.055</v>
      </c>
      <c r="AG52" s="45"/>
      <c r="AH52" s="263">
        <v>0.0625</v>
      </c>
      <c r="AI52" s="45"/>
      <c r="AJ52" s="264">
        <f>$E$29</f>
        <v>0.0625</v>
      </c>
      <c r="AK52" s="45"/>
      <c r="AL52" s="263">
        <v>0.06</v>
      </c>
      <c r="AM52" s="45"/>
      <c r="AN52" s="263">
        <v>0.06</v>
      </c>
      <c r="AO52" s="44"/>
      <c r="AP52" s="44"/>
      <c r="AQ52" s="45"/>
      <c r="AR52" s="263">
        <v>0.06</v>
      </c>
      <c r="AS52" s="45"/>
      <c r="AT52" s="263">
        <v>0.065</v>
      </c>
      <c r="AU52" s="45"/>
      <c r="AV52" s="264">
        <f>$E$29</f>
        <v>0.0625</v>
      </c>
      <c r="AW52" s="44"/>
      <c r="AX52" s="44"/>
      <c r="AY52" s="47"/>
      <c r="AZ52" s="31"/>
      <c r="BA52" s="34"/>
      <c r="BB52" s="26"/>
    </row>
    <row r="53" ht="16.5" customHeight="1">
      <c r="A53" s="1"/>
      <c r="B53" s="26"/>
      <c r="G53" s="26"/>
      <c r="H53" s="30"/>
      <c r="I53" s="26"/>
      <c r="J53" s="31"/>
      <c r="L53" s="265" t="s">
        <v>42</v>
      </c>
      <c r="M53" s="266">
        <f t="shared" ref="M53:M57" si="4">SUMIF($M$21:$M$45,L53,$O$21:$O$45)</f>
        <v>0</v>
      </c>
      <c r="O53" s="267">
        <f>IFERROR(__xludf.DUMMYFUNCTION("unique(filter(N22:N44,N22:N44&lt;&gt;""""))"),46197.0)</f>
        <v>46197</v>
      </c>
      <c r="P53" s="268">
        <f t="shared" ref="P53:P58" si="5">SUMIF($N$21:$N$47,O53,$O$21:$O$47)</f>
        <v>0</v>
      </c>
      <c r="Q53" s="31"/>
      <c r="S53" s="26"/>
      <c r="T53" s="31"/>
      <c r="V53" s="246"/>
      <c r="W53" s="24" t="s">
        <v>135</v>
      </c>
      <c r="Z53" s="269"/>
      <c r="AA53" s="45"/>
      <c r="AB53" s="254">
        <f>AA17+AB93</f>
        <v>32002.38462</v>
      </c>
      <c r="AD53" s="254">
        <f>AB53*((1+$Y$37))+AD93</f>
        <v>34242.55154</v>
      </c>
      <c r="AF53" s="254">
        <f>AD53*((1+$Y$37))+AF93</f>
        <v>36639.53015</v>
      </c>
      <c r="AH53" s="254">
        <f>AF53*((1+$Y$37))+AH93</f>
        <v>39204.29726</v>
      </c>
      <c r="AJ53" s="255">
        <f>AH53*((1+$Y$37))+AJ93</f>
        <v>41948.59806</v>
      </c>
      <c r="AK53" s="45"/>
      <c r="AL53" s="254">
        <f>AJ53*((1+$Y$37))+AL93</f>
        <v>44884.99993</v>
      </c>
      <c r="AN53" s="254">
        <f>AL53*((1+$Y$37))+AN93</f>
        <v>48026.94992</v>
      </c>
      <c r="AR53" s="254">
        <f>AN53*((1+$Y$37))+AR93</f>
        <v>51388.83642</v>
      </c>
      <c r="AT53" s="254">
        <f>AR53*((1+$Y$37))+AT93</f>
        <v>54986.05497</v>
      </c>
      <c r="AV53" s="255">
        <f>AT53*((1+$Y$37))+AV93</f>
        <v>58835.07882</v>
      </c>
      <c r="AW53" s="44"/>
      <c r="AX53" s="44"/>
      <c r="AY53" s="47"/>
      <c r="AZ53" s="31"/>
      <c r="BA53" s="34"/>
      <c r="BB53" s="26"/>
    </row>
    <row r="54" ht="16.5" customHeight="1">
      <c r="A54" s="1"/>
      <c r="B54" s="26"/>
      <c r="G54" s="26"/>
      <c r="H54" s="30"/>
      <c r="I54" s="26"/>
      <c r="J54" s="31"/>
      <c r="L54" s="270" t="s">
        <v>58</v>
      </c>
      <c r="M54" s="271">
        <f t="shared" si="4"/>
        <v>8600</v>
      </c>
      <c r="O54" s="272">
        <f>IFERROR(__xludf.DUMMYFUNCTION("""COMPUTED_VALUE"""),46242.0)</f>
        <v>46242</v>
      </c>
      <c r="P54" s="273">
        <f t="shared" si="5"/>
        <v>8600</v>
      </c>
      <c r="Q54" s="31"/>
      <c r="S54" s="26"/>
      <c r="T54" s="31"/>
      <c r="V54" s="246"/>
      <c r="W54" s="24" t="s">
        <v>136</v>
      </c>
      <c r="Z54" s="269"/>
      <c r="AA54" s="45"/>
      <c r="AB54" s="274">
        <f>AA13/$E$16</f>
        <v>0.055</v>
      </c>
      <c r="AD54" s="274">
        <f>AD53/$E$16</f>
        <v>0.05707091923</v>
      </c>
      <c r="AF54" s="274">
        <f>AF53/$E$16</f>
        <v>0.06106588358</v>
      </c>
      <c r="AH54" s="274">
        <f>AH53/$E$16</f>
        <v>0.06534049543</v>
      </c>
      <c r="AJ54" s="275">
        <f>AJ53/$E$16</f>
        <v>0.06991433011</v>
      </c>
      <c r="AK54" s="45"/>
      <c r="AL54" s="274">
        <f>AL53/$E$16</f>
        <v>0.07480833321</v>
      </c>
      <c r="AN54" s="274">
        <f>AN53/$E$16</f>
        <v>0.08004491654</v>
      </c>
      <c r="AR54" s="274">
        <f>AR53/$E$16</f>
        <v>0.0856480607</v>
      </c>
      <c r="AT54" s="274">
        <f>AT53/$E$16</f>
        <v>0.09164342495</v>
      </c>
      <c r="AV54" s="275">
        <f>AV53/$E$16</f>
        <v>0.09805846469</v>
      </c>
      <c r="AW54" s="44"/>
      <c r="AX54" s="44"/>
      <c r="AY54" s="47"/>
      <c r="AZ54" s="31"/>
      <c r="BA54" s="34"/>
      <c r="BB54" s="26"/>
    </row>
    <row r="55" ht="18.0" customHeight="1">
      <c r="A55" s="1"/>
      <c r="B55" s="26"/>
      <c r="G55" s="26"/>
      <c r="H55" s="30"/>
      <c r="I55" s="26"/>
      <c r="J55" s="31"/>
      <c r="L55" s="276" t="s">
        <v>80</v>
      </c>
      <c r="M55" s="266">
        <f t="shared" si="4"/>
        <v>0</v>
      </c>
      <c r="O55" s="277">
        <f>IFERROR(__xludf.DUMMYFUNCTION("""COMPUTED_VALUE"""),46263.0)</f>
        <v>46263</v>
      </c>
      <c r="P55" s="278">
        <f t="shared" si="5"/>
        <v>0</v>
      </c>
      <c r="Q55" s="31"/>
      <c r="S55" s="26"/>
      <c r="T55" s="31"/>
      <c r="V55" s="252"/>
      <c r="W55" s="24" t="s">
        <v>137</v>
      </c>
      <c r="Z55" s="269"/>
      <c r="AA55" s="45"/>
      <c r="AB55" s="254">
        <f>SUM(AB56:AC57)</f>
        <v>42840.16719</v>
      </c>
      <c r="AD55" s="254">
        <f>SUM(AD56:AE57)</f>
        <v>42904.78729</v>
      </c>
      <c r="AF55" s="254">
        <f>SUM(AF56:AG57)</f>
        <v>42972.10597</v>
      </c>
      <c r="AH55" s="254">
        <f>SUM(AH56:AI57)</f>
        <v>43042.21121</v>
      </c>
      <c r="AJ55" s="255">
        <f>SUM(AJ56:AK57)</f>
        <v>43115.19163</v>
      </c>
      <c r="AK55" s="45"/>
      <c r="AL55" s="254">
        <f>SUM(AL56:AM57)</f>
        <v>43191.13624</v>
      </c>
      <c r="AN55" s="254">
        <f>SUM(AN56:AP57)</f>
        <v>43270.13412</v>
      </c>
      <c r="AR55" s="254">
        <f>SUM(AR56:AS57)</f>
        <v>43352.27418</v>
      </c>
      <c r="AT55" s="254">
        <f>SUM(AT56:AU57)</f>
        <v>43475.13614</v>
      </c>
      <c r="AV55" s="255">
        <f>SUM(AV56:AY57)</f>
        <v>43562.95597</v>
      </c>
      <c r="AW55" s="44"/>
      <c r="AX55" s="44"/>
      <c r="AY55" s="47"/>
      <c r="AZ55" s="31"/>
      <c r="BA55" s="34"/>
      <c r="BB55" s="26"/>
    </row>
    <row r="56" ht="20.25" customHeight="1">
      <c r="A56" s="1"/>
      <c r="B56" s="26"/>
      <c r="G56" s="26"/>
      <c r="H56" s="30"/>
      <c r="I56" s="26"/>
      <c r="J56" s="31"/>
      <c r="L56" s="270" t="s">
        <v>84</v>
      </c>
      <c r="M56" s="271">
        <f t="shared" si="4"/>
        <v>73073</v>
      </c>
      <c r="O56" s="272">
        <f>IFERROR(__xludf.DUMMYFUNCTION("""COMPUTED_VALUE"""),46284.0)</f>
        <v>46284</v>
      </c>
      <c r="P56" s="273">
        <f t="shared" si="5"/>
        <v>73073</v>
      </c>
      <c r="Q56" s="31"/>
      <c r="S56" s="26"/>
      <c r="T56" s="31"/>
      <c r="V56" s="252"/>
      <c r="W56" s="69" t="s">
        <v>138</v>
      </c>
      <c r="Z56" s="279">
        <f>'REPORT | Inputs.'!Loan_Rate_Y1</f>
        <v>0.0625</v>
      </c>
      <c r="AA56" s="45"/>
      <c r="AB56" s="254">
        <f>-CUMIPMT('REPORT | Inputs.'!Loan_Rate_10Y_Avg/12,('REPORT | Inputs.'!Loan_Term*12)-((AB46-1)*12),Z48,1,12,0)</f>
        <v>34580.03604</v>
      </c>
      <c r="AD56" s="254">
        <f>-CUMIPMT('REPORT | Inputs.'!Loan_Rate_10Y_Avg/12,('REPORT | Inputs.'!Loan_Term*12)-((AD46-1)*12),AB48,1,12,0)</f>
        <v>34149.04826</v>
      </c>
      <c r="AF56" s="254">
        <f>-CUMIPMT('REPORT | Inputs.'!Loan_Rate_10Y_Avg/12,('REPORT | Inputs.'!Loan_Term*12)-((AF46-1)*12),AD48,1,12,0)</f>
        <v>33691.0226</v>
      </c>
      <c r="AH56" s="254">
        <f>-CUMIPMT('REPORT | Inputs.'!Loan_Rate_10Y_Avg/12,('REPORT | Inputs.'!Loan_Term*12)-((AH46-1)*12),AF48,1,12,0)</f>
        <v>33204.26285</v>
      </c>
      <c r="AJ56" s="255">
        <f>-CUMIPMT('REPORT | Inputs.'!Loan_Rate_10Y_Avg/12,('REPORT | Inputs.'!Loan_Term*12)-((AJ46-1)*12),AH48,1,12,0)</f>
        <v>32686.96637</v>
      </c>
      <c r="AK56" s="45"/>
      <c r="AL56" s="254">
        <f>-CUMIPMT('REPORT | Inputs.'!Loan_Rate_10Y_Avg/12,('REPORT | Inputs.'!Loan_Term*12)-((AL46-1)*12),AJ48,1,12,0)</f>
        <v>32137.21745</v>
      </c>
      <c r="AN56" s="254">
        <f>-CUMIPMT('REPORT | Inputs.'!Loan_Rate_10Y_Avg/12,('REPORT | Inputs.'!Loan_Term*12)-((AN46-1)*12),AL48,1,12,0)</f>
        <v>31552.98021</v>
      </c>
      <c r="AR56" s="254">
        <f>-CUMIPMT('REPORT | Inputs.'!Loan_Rate_10Y_Avg/12,('REPORT | Inputs.'!Loan_Term*12)-((AR46-1)*12),AN48,1,12,0)</f>
        <v>30932.09103</v>
      </c>
      <c r="AT56" s="254">
        <f>-CUMIPMT('REPORT | Inputs.'!Loan_Rate_10Y_Avg/12,('REPORT | Inputs.'!Loan_Term*12)-((AT46-1)*12),AR48,1,12,0)</f>
        <v>30309.74201</v>
      </c>
      <c r="AV56" s="255">
        <f>-CUMIPMT('REPORT | Inputs.'!Loan_Rate_10Y_Avg/12,('REPORT | Inputs.'!Loan_Term*12)-((AV46-1)*12),AT48,1,12,0)</f>
        <v>29607.63819</v>
      </c>
      <c r="AW56" s="44"/>
      <c r="AX56" s="44"/>
      <c r="AY56" s="47"/>
      <c r="AZ56" s="31"/>
      <c r="BA56" s="34"/>
      <c r="BB56" s="26"/>
    </row>
    <row r="57" ht="16.5" customHeight="1">
      <c r="A57" s="1"/>
      <c r="B57" s="26"/>
      <c r="G57" s="26"/>
      <c r="H57" s="30"/>
      <c r="I57" s="26"/>
      <c r="J57" s="31"/>
      <c r="L57" s="280" t="s">
        <v>122</v>
      </c>
      <c r="M57" s="281">
        <f t="shared" si="4"/>
        <v>2000</v>
      </c>
      <c r="O57" s="277">
        <f>IFERROR(__xludf.DUMMYFUNCTION("""COMPUTED_VALUE"""),46314.0)</f>
        <v>46314</v>
      </c>
      <c r="P57" s="278">
        <f t="shared" si="5"/>
        <v>2000</v>
      </c>
      <c r="Q57" s="31"/>
      <c r="S57" s="26"/>
      <c r="T57" s="31"/>
      <c r="V57" s="252"/>
      <c r="W57" s="69" t="s">
        <v>139</v>
      </c>
      <c r="Z57" s="269"/>
      <c r="AA57" s="45"/>
      <c r="AB57" s="254">
        <f>SUM($AA$21,$AA$22,$AA$23,$AA$24,$AA$25,$AA$27,AA31)</f>
        <v>8260.131154</v>
      </c>
      <c r="AD57" s="254">
        <f>((AB57*((1+$Y$38)^AB46)))</f>
        <v>8755.739023</v>
      </c>
      <c r="AF57" s="254">
        <f>(($AB57*((1+$Y$38)^AD46)))</f>
        <v>9281.083364</v>
      </c>
      <c r="AH57" s="254">
        <f>(($AB57*((1+$Y$38)^AF46)))</f>
        <v>9837.948366</v>
      </c>
      <c r="AJ57" s="255">
        <f>(($AB57*((1+$Y$38)^AH46)))</f>
        <v>10428.22527</v>
      </c>
      <c r="AK57" s="45"/>
      <c r="AL57" s="254">
        <f>(($AB57*((1+$Y$38)^AJ46)))</f>
        <v>11053.91878</v>
      </c>
      <c r="AN57" s="254">
        <f>(($AB57*((1+$Y$38)^AL46)))</f>
        <v>11717.15391</v>
      </c>
      <c r="AR57" s="254">
        <f>(($AB57*((1+$Y$38)^AN46)))</f>
        <v>12420.18315</v>
      </c>
      <c r="AT57" s="254">
        <f>(($AB57*((1+$Y$38)^AR46)))</f>
        <v>13165.39413</v>
      </c>
      <c r="AV57" s="255">
        <f>(($AB57*((1+$Y$38)^AT46)))</f>
        <v>13955.31778</v>
      </c>
      <c r="AW57" s="44"/>
      <c r="AX57" s="44"/>
      <c r="AY57" s="47"/>
      <c r="AZ57" s="31"/>
      <c r="BA57" s="34"/>
      <c r="BB57" s="26"/>
    </row>
    <row r="58" ht="16.5" customHeight="1">
      <c r="A58" s="1"/>
      <c r="B58" s="26"/>
      <c r="G58" s="26"/>
      <c r="H58" s="30"/>
      <c r="I58" s="26"/>
      <c r="J58" s="31"/>
      <c r="L58" s="282"/>
      <c r="O58" s="283"/>
      <c r="P58" s="284">
        <f t="shared" si="5"/>
        <v>0</v>
      </c>
      <c r="Q58" s="31"/>
      <c r="S58" s="26"/>
      <c r="T58" s="31"/>
      <c r="V58" s="246"/>
      <c r="W58" s="285" t="s">
        <v>140</v>
      </c>
      <c r="X58" s="44"/>
      <c r="Y58" s="45"/>
      <c r="Z58" s="286"/>
      <c r="AA58" s="45"/>
      <c r="AB58" s="255">
        <f>AB53-AB55-AB50</f>
        <v>-17707.78987</v>
      </c>
      <c r="AC58" s="45"/>
      <c r="AD58" s="255">
        <f>AD53-AD55-AD50</f>
        <v>-15963.23082</v>
      </c>
      <c r="AE58" s="45"/>
      <c r="AF58" s="255">
        <f>AF53-AF55-AF50</f>
        <v>-14091.59655</v>
      </c>
      <c r="AG58" s="45"/>
      <c r="AH58" s="255">
        <f>AH53-AH55-AH50</f>
        <v>-12083.69444</v>
      </c>
      <c r="AI58" s="45"/>
      <c r="AJ58" s="255">
        <f>AJ53-AJ55-AJ50</f>
        <v>-9929.670535</v>
      </c>
      <c r="AK58" s="45"/>
      <c r="AL58" s="255">
        <f>AL53-AL55-AL50</f>
        <v>-7618.962187</v>
      </c>
      <c r="AM58" s="45"/>
      <c r="AN58" s="255">
        <f>AN53-AN55-AN50</f>
        <v>-5140.247319</v>
      </c>
      <c r="AO58" s="44"/>
      <c r="AP58" s="44"/>
      <c r="AQ58" s="45"/>
      <c r="AR58" s="255">
        <f>AR53-AR55-AR50</f>
        <v>-2481.390059</v>
      </c>
      <c r="AS58" s="45"/>
      <c r="AT58" s="255">
        <f>AT53-AT55-AT50</f>
        <v>319.2826219</v>
      </c>
      <c r="AU58" s="45"/>
      <c r="AV58" s="255">
        <f>AV53-AV55-AV50</f>
        <v>3378.382822</v>
      </c>
      <c r="AW58" s="44"/>
      <c r="AX58" s="44"/>
      <c r="AY58" s="47"/>
      <c r="AZ58" s="31"/>
      <c r="BA58" s="34"/>
      <c r="BB58" s="26"/>
    </row>
    <row r="59" ht="16.5" customHeight="1">
      <c r="A59" s="1"/>
      <c r="B59" s="26"/>
      <c r="G59" s="26"/>
      <c r="H59" s="30"/>
      <c r="I59" s="26"/>
      <c r="J59" s="31"/>
      <c r="O59" s="282"/>
      <c r="P59" s="282"/>
      <c r="Q59" s="31"/>
      <c r="S59" s="26"/>
      <c r="T59" s="31"/>
      <c r="V59" s="246"/>
      <c r="W59" s="287" t="s">
        <v>141</v>
      </c>
      <c r="X59" s="44"/>
      <c r="Y59" s="45"/>
      <c r="Z59" s="288"/>
      <c r="AA59" s="45"/>
      <c r="AB59" s="289">
        <f>AB58</f>
        <v>-17707.78987</v>
      </c>
      <c r="AC59" s="45"/>
      <c r="AD59" s="289">
        <f>SUM($AB58:AE58)</f>
        <v>-33671.02069</v>
      </c>
      <c r="AE59" s="45"/>
      <c r="AF59" s="289">
        <f>SUM($AB58:AG58)</f>
        <v>-47762.61724</v>
      </c>
      <c r="AG59" s="45"/>
      <c r="AH59" s="289">
        <f>SUM($AB58:AI58)</f>
        <v>-59846.31168</v>
      </c>
      <c r="AI59" s="45"/>
      <c r="AJ59" s="289">
        <f>SUM($AB58:AK58)</f>
        <v>-69775.98221</v>
      </c>
      <c r="AK59" s="45"/>
      <c r="AL59" s="289">
        <f>SUM($AB58:AM58)</f>
        <v>-77394.9444</v>
      </c>
      <c r="AM59" s="45"/>
      <c r="AN59" s="289">
        <f>SUM($AB58:AO58)</f>
        <v>-82535.19172</v>
      </c>
      <c r="AO59" s="44"/>
      <c r="AP59" s="44"/>
      <c r="AQ59" s="45"/>
      <c r="AR59" s="289">
        <f>SUM($AB58:AS58)</f>
        <v>-85016.58178</v>
      </c>
      <c r="AS59" s="45"/>
      <c r="AT59" s="289">
        <f>SUM($AB58:AU58)</f>
        <v>-84697.29915</v>
      </c>
      <c r="AU59" s="45"/>
      <c r="AV59" s="289">
        <f>SUM($AB58:AW58)</f>
        <v>-81318.91633</v>
      </c>
      <c r="AW59" s="44"/>
      <c r="AX59" s="44"/>
      <c r="AY59" s="47"/>
      <c r="AZ59" s="31"/>
      <c r="BA59" s="34"/>
      <c r="BB59" s="26"/>
    </row>
    <row r="60" ht="16.5" customHeight="1">
      <c r="A60" s="1"/>
      <c r="B60" s="26"/>
      <c r="G60" s="26"/>
      <c r="H60" s="30"/>
      <c r="I60" s="26"/>
      <c r="J60" s="31"/>
      <c r="L60" s="290" t="s">
        <v>142</v>
      </c>
      <c r="M60" s="22"/>
      <c r="O60" s="291" t="s">
        <v>143</v>
      </c>
      <c r="P60" s="292">
        <f>SUMIF($P$21:$P$44,"To Pay",$O$21:$O$44)</f>
        <v>83673</v>
      </c>
      <c r="Q60" s="31"/>
      <c r="S60" s="26"/>
      <c r="T60" s="31"/>
      <c r="V60" s="256"/>
      <c r="W60" s="24" t="s">
        <v>144</v>
      </c>
      <c r="Z60" s="253"/>
      <c r="AA60" s="45"/>
      <c r="AB60" s="274">
        <f>AB58/$E$16</f>
        <v>-0.02951298312</v>
      </c>
      <c r="AD60" s="274">
        <f>AD58/$E$16</f>
        <v>-0.02660538469</v>
      </c>
      <c r="AF60" s="274">
        <f>AF58/$E$16</f>
        <v>-0.02348599425</v>
      </c>
      <c r="AH60" s="274">
        <f>AH58/$E$16</f>
        <v>-0.02013949074</v>
      </c>
      <c r="AJ60" s="275">
        <f>AJ58/$E$16</f>
        <v>-0.01654945089</v>
      </c>
      <c r="AK60" s="45"/>
      <c r="AL60" s="274">
        <f>AL58/$E$16</f>
        <v>-0.01269827031</v>
      </c>
      <c r="AN60" s="274">
        <f>AN58/$E$16</f>
        <v>-0.008567078865</v>
      </c>
      <c r="AR60" s="274">
        <f>AR58/$E$16</f>
        <v>-0.004135650098</v>
      </c>
      <c r="AT60" s="274">
        <f>AT58/$E$16</f>
        <v>0.0005321377031</v>
      </c>
      <c r="AV60" s="275">
        <f>AV58/$E$16</f>
        <v>0.005630638036</v>
      </c>
      <c r="AW60" s="44"/>
      <c r="AX60" s="44"/>
      <c r="AY60" s="47"/>
      <c r="AZ60" s="31"/>
      <c r="BA60" s="34"/>
      <c r="BB60" s="26"/>
    </row>
    <row r="61" ht="16.5" customHeight="1">
      <c r="A61" s="1"/>
      <c r="B61" s="26"/>
      <c r="C61" s="293"/>
      <c r="D61" s="21"/>
      <c r="E61" s="21"/>
      <c r="F61" s="22"/>
      <c r="G61" s="26"/>
      <c r="H61" s="30"/>
      <c r="I61" s="26"/>
      <c r="J61" s="31"/>
      <c r="L61" s="113"/>
      <c r="M61" s="114"/>
      <c r="O61" s="294"/>
      <c r="P61" s="294"/>
      <c r="Q61" s="31"/>
      <c r="S61" s="26"/>
      <c r="T61" s="31"/>
      <c r="V61" s="256"/>
      <c r="W61" s="24" t="s">
        <v>145</v>
      </c>
      <c r="Z61" s="253"/>
      <c r="AA61" s="45"/>
      <c r="AB61" s="254">
        <f>AB58/12</f>
        <v>-1475.649156</v>
      </c>
      <c r="AD61" s="254">
        <f>AD58/12</f>
        <v>-1330.269235</v>
      </c>
      <c r="AF61" s="254">
        <f>AF58/12</f>
        <v>-1174.299712</v>
      </c>
      <c r="AH61" s="254">
        <f>AH58/12</f>
        <v>-1006.974537</v>
      </c>
      <c r="AJ61" s="255">
        <f>AJ58/12</f>
        <v>-827.4725446</v>
      </c>
      <c r="AK61" s="45"/>
      <c r="AL61" s="254">
        <f>AL58/12</f>
        <v>-634.9135156</v>
      </c>
      <c r="AN61" s="254">
        <f>AN58/12</f>
        <v>-428.3539432</v>
      </c>
      <c r="AR61" s="254">
        <f>AR58/12</f>
        <v>-206.7825049</v>
      </c>
      <c r="AT61" s="254">
        <f>AT58/12</f>
        <v>26.60688516</v>
      </c>
      <c r="AV61" s="255">
        <f>AV58/12</f>
        <v>281.5319018</v>
      </c>
      <c r="AW61" s="44"/>
      <c r="AX61" s="44"/>
      <c r="AY61" s="47"/>
      <c r="AZ61" s="31"/>
      <c r="BA61" s="34"/>
      <c r="BB61" s="26"/>
    </row>
    <row r="62" ht="16.5" customHeight="1">
      <c r="A62" s="1"/>
      <c r="B62" s="26"/>
      <c r="C62" s="32"/>
      <c r="F62" s="33"/>
      <c r="G62" s="26"/>
      <c r="H62" s="30"/>
      <c r="I62" s="26"/>
      <c r="J62" s="31"/>
      <c r="L62" s="265" t="s">
        <v>59</v>
      </c>
      <c r="M62" s="266">
        <f>SUMIF($P$21:$P$47,L62,O21:O47)</f>
        <v>83673</v>
      </c>
      <c r="O62" s="295" t="s">
        <v>146</v>
      </c>
      <c r="P62" s="296">
        <f>SUM(M53:M57)</f>
        <v>83673</v>
      </c>
      <c r="Q62" s="31"/>
      <c r="S62" s="26"/>
      <c r="T62" s="31"/>
      <c r="V62" s="67"/>
      <c r="W62" s="24"/>
      <c r="Z62" s="269"/>
      <c r="AA62" s="45"/>
      <c r="AB62" s="254"/>
      <c r="AD62" s="254"/>
      <c r="AF62" s="254"/>
      <c r="AH62" s="254"/>
      <c r="AJ62" s="255"/>
      <c r="AK62" s="45"/>
      <c r="AL62" s="254"/>
      <c r="AN62" s="254"/>
      <c r="AR62" s="254"/>
      <c r="AT62" s="254"/>
      <c r="AV62" s="255"/>
      <c r="AW62" s="44"/>
      <c r="AX62" s="44"/>
      <c r="AY62" s="47"/>
      <c r="AZ62" s="31"/>
      <c r="BA62" s="34"/>
      <c r="BB62" s="26"/>
    </row>
    <row r="63" ht="18.0" customHeight="1">
      <c r="A63" s="1"/>
      <c r="B63" s="26"/>
      <c r="C63" s="32"/>
      <c r="F63" s="33"/>
      <c r="G63" s="26"/>
      <c r="H63" s="30"/>
      <c r="I63" s="26"/>
      <c r="J63" s="31"/>
      <c r="L63" s="297" t="s">
        <v>147</v>
      </c>
      <c r="M63" s="298">
        <f>SUMIF($P$21:$P$47,"Paid",$O$21:$O$47)</f>
        <v>0</v>
      </c>
      <c r="O63" s="299"/>
      <c r="P63" s="299"/>
      <c r="Q63" s="31"/>
      <c r="S63" s="26"/>
      <c r="T63" s="31"/>
      <c r="V63" s="246"/>
      <c r="W63" s="300" t="s">
        <v>148</v>
      </c>
      <c r="X63" s="44"/>
      <c r="Y63" s="45"/>
      <c r="Z63" s="301"/>
      <c r="AA63" s="45"/>
      <c r="AB63" s="302">
        <f>AB47-Z47</f>
        <v>48000</v>
      </c>
      <c r="AC63" s="45"/>
      <c r="AD63" s="302">
        <f>AD47-AB47</f>
        <v>51840</v>
      </c>
      <c r="AE63" s="45"/>
      <c r="AF63" s="302">
        <f>AF47-AD47</f>
        <v>55987.2</v>
      </c>
      <c r="AG63" s="45"/>
      <c r="AH63" s="302">
        <f>AH47-AF47</f>
        <v>47465.94816</v>
      </c>
      <c r="AI63" s="45"/>
      <c r="AJ63" s="302">
        <f>AJ47-AH47</f>
        <v>50607.46833</v>
      </c>
      <c r="AK63" s="45"/>
      <c r="AL63" s="302">
        <f>AL47-AJ47</f>
        <v>53795.73884</v>
      </c>
      <c r="AM63" s="45"/>
      <c r="AN63" s="302">
        <f>AN47-AL47</f>
        <v>57184.87039</v>
      </c>
      <c r="AO63" s="44"/>
      <c r="AP63" s="44"/>
      <c r="AQ63" s="45"/>
      <c r="AR63" s="302">
        <f>AR47-AN47</f>
        <v>60787.51722</v>
      </c>
      <c r="AS63" s="45"/>
      <c r="AT63" s="302">
        <f>AT47-AR47</f>
        <v>64617.13081</v>
      </c>
      <c r="AU63" s="45"/>
      <c r="AV63" s="302">
        <f>AV47-AT47</f>
        <v>68688.01005</v>
      </c>
      <c r="AW63" s="44"/>
      <c r="AX63" s="44"/>
      <c r="AY63" s="47"/>
      <c r="AZ63" s="31"/>
      <c r="BA63" s="34"/>
      <c r="BB63" s="26"/>
    </row>
    <row r="64" ht="18.0" customHeight="1">
      <c r="A64" s="1"/>
      <c r="B64" s="26"/>
      <c r="C64" s="32"/>
      <c r="F64" s="33"/>
      <c r="G64" s="26"/>
      <c r="H64" s="30"/>
      <c r="I64" s="26"/>
      <c r="J64" s="31"/>
      <c r="L64" s="58"/>
      <c r="Q64" s="31"/>
      <c r="S64" s="26"/>
      <c r="T64" s="31"/>
      <c r="V64" s="246"/>
      <c r="W64" s="303" t="s">
        <v>149</v>
      </c>
      <c r="X64" s="44"/>
      <c r="Y64" s="45"/>
      <c r="Z64" s="304"/>
      <c r="AA64" s="45"/>
      <c r="AB64" s="305">
        <f>AB63</f>
        <v>48000</v>
      </c>
      <c r="AC64" s="45"/>
      <c r="AD64" s="305">
        <f>AB64+AD63</f>
        <v>99840</v>
      </c>
      <c r="AE64" s="45"/>
      <c r="AF64" s="305">
        <f>AD64+AF63</f>
        <v>155827.2</v>
      </c>
      <c r="AG64" s="45"/>
      <c r="AH64" s="305">
        <f>AF64+AH63</f>
        <v>203293.1482</v>
      </c>
      <c r="AI64" s="45"/>
      <c r="AJ64" s="305">
        <f>AH64+AJ63</f>
        <v>253900.6165</v>
      </c>
      <c r="AK64" s="45"/>
      <c r="AL64" s="305">
        <f>AJ64+AL63</f>
        <v>307696.3553</v>
      </c>
      <c r="AM64" s="45"/>
      <c r="AN64" s="305">
        <f>AL64+AN63</f>
        <v>364881.2257</v>
      </c>
      <c r="AO64" s="44"/>
      <c r="AP64" s="44"/>
      <c r="AQ64" s="45"/>
      <c r="AR64" s="305">
        <f>AN64+AR63</f>
        <v>425668.7429</v>
      </c>
      <c r="AS64" s="45"/>
      <c r="AT64" s="305">
        <f>AR64+AT63</f>
        <v>490285.8737</v>
      </c>
      <c r="AU64" s="45"/>
      <c r="AV64" s="305">
        <f>AT64+AV63</f>
        <v>558973.8838</v>
      </c>
      <c r="AW64" s="44"/>
      <c r="AX64" s="44"/>
      <c r="AY64" s="47"/>
      <c r="AZ64" s="31"/>
      <c r="BA64" s="34"/>
      <c r="BB64" s="26"/>
    </row>
    <row r="65" ht="18.0" customHeight="1">
      <c r="A65" s="1"/>
      <c r="B65" s="26"/>
      <c r="C65" s="32"/>
      <c r="F65" s="33"/>
      <c r="G65" s="26"/>
      <c r="H65" s="30"/>
      <c r="I65" s="26"/>
      <c r="J65" s="31"/>
      <c r="Q65" s="31"/>
      <c r="S65" s="26"/>
      <c r="T65" s="31"/>
      <c r="V65" s="246"/>
      <c r="W65" s="306" t="s">
        <v>150</v>
      </c>
      <c r="X65" s="44"/>
      <c r="Y65" s="45"/>
      <c r="Z65" s="307"/>
      <c r="AA65" s="45"/>
      <c r="AB65" s="101">
        <f>SUM(AB64+AB59)</f>
        <v>30292.21013</v>
      </c>
      <c r="AC65" s="45"/>
      <c r="AD65" s="101">
        <f>SUM(AD64+AD59)</f>
        <v>66168.97931</v>
      </c>
      <c r="AE65" s="45"/>
      <c r="AF65" s="101">
        <f>SUM(AF64+AF59)</f>
        <v>108064.5828</v>
      </c>
      <c r="AG65" s="45"/>
      <c r="AH65" s="101">
        <f>SUM(AH64+AH59)</f>
        <v>143446.8365</v>
      </c>
      <c r="AI65" s="45"/>
      <c r="AJ65" s="101">
        <f>SUM(AJ64+AJ59)</f>
        <v>184124.6343</v>
      </c>
      <c r="AK65" s="45"/>
      <c r="AL65" s="101">
        <f>SUM(AL64+AL59)</f>
        <v>230301.4109</v>
      </c>
      <c r="AM65" s="45"/>
      <c r="AN65" s="101">
        <f>SUM(AN64+AN59)</f>
        <v>282346.034</v>
      </c>
      <c r="AO65" s="44"/>
      <c r="AP65" s="44"/>
      <c r="AQ65" s="45"/>
      <c r="AR65" s="101">
        <f>SUM(AR64+AR59)</f>
        <v>340652.1612</v>
      </c>
      <c r="AS65" s="45"/>
      <c r="AT65" s="101">
        <f>SUM(AT64+AT59)</f>
        <v>405588.5746</v>
      </c>
      <c r="AU65" s="45"/>
      <c r="AV65" s="101">
        <f>SUM(AV64+AV59)</f>
        <v>477654.9675</v>
      </c>
      <c r="AW65" s="44"/>
      <c r="AX65" s="44"/>
      <c r="AY65" s="47"/>
      <c r="AZ65" s="31"/>
      <c r="BA65" s="34"/>
      <c r="BB65" s="26"/>
    </row>
    <row r="66" ht="18.0" customHeight="1">
      <c r="A66" s="1"/>
      <c r="B66" s="26"/>
      <c r="C66" s="32"/>
      <c r="F66" s="33"/>
      <c r="G66" s="26"/>
      <c r="H66" s="30"/>
      <c r="I66" s="26"/>
      <c r="J66" s="31"/>
      <c r="Q66" s="31"/>
      <c r="S66" s="26"/>
      <c r="T66" s="31"/>
      <c r="V66" s="246"/>
      <c r="W66" s="308" t="s">
        <v>151</v>
      </c>
      <c r="X66" s="44"/>
      <c r="Y66" s="45"/>
      <c r="Z66" s="309"/>
      <c r="AA66" s="45"/>
      <c r="AB66" s="310">
        <f>SUM(AB59,AB51,AB64)</f>
        <v>37162.21742</v>
      </c>
      <c r="AC66" s="45"/>
      <c r="AD66" s="310">
        <f>SUM(AD59,AD51,AD64)</f>
        <v>80339.98168</v>
      </c>
      <c r="AE66" s="45"/>
      <c r="AF66" s="310">
        <f>SUM(AF59,AF51,AF64)</f>
        <v>129994.6059</v>
      </c>
      <c r="AG66" s="45"/>
      <c r="AH66" s="310">
        <f>SUM(AH59,AH51,AH64)</f>
        <v>173622.6401</v>
      </c>
      <c r="AI66" s="45"/>
      <c r="AJ66" s="310">
        <f>SUM(AJ59,AJ51,AJ64)</f>
        <v>223063.5148</v>
      </c>
      <c r="AK66" s="45"/>
      <c r="AL66" s="310">
        <f>SUM(AL59,AL51,AL64)</f>
        <v>278553.1174</v>
      </c>
      <c r="AM66" s="45"/>
      <c r="AN66" s="310">
        <f>SUM(AN59,AN51,AN64)</f>
        <v>340494.8035</v>
      </c>
      <c r="AO66" s="44"/>
      <c r="AP66" s="44"/>
      <c r="AQ66" s="45"/>
      <c r="AR66" s="310">
        <f>SUM(AR59,AR51,AR64)</f>
        <v>409318.883</v>
      </c>
      <c r="AS66" s="45"/>
      <c r="AT66" s="310">
        <f>SUM(AT59,AT51,AT64)</f>
        <v>485446.9326</v>
      </c>
      <c r="AU66" s="45"/>
      <c r="AV66" s="310">
        <f>SUM(AV59,AV51,AV64)</f>
        <v>569407.0655</v>
      </c>
      <c r="AW66" s="44"/>
      <c r="AX66" s="44"/>
      <c r="AY66" s="47"/>
      <c r="AZ66" s="31"/>
      <c r="BA66" s="34"/>
      <c r="BB66" s="26"/>
    </row>
    <row r="67" ht="18.0" customHeight="1">
      <c r="A67" s="1"/>
      <c r="B67" s="26"/>
      <c r="C67" s="32"/>
      <c r="F67" s="33"/>
      <c r="G67" s="26"/>
      <c r="H67" s="30"/>
      <c r="I67" s="26"/>
      <c r="J67" s="311"/>
      <c r="K67" s="312"/>
      <c r="L67" s="312"/>
      <c r="M67" s="312"/>
      <c r="N67" s="312"/>
      <c r="O67" s="312"/>
      <c r="P67" s="312"/>
      <c r="Q67" s="312"/>
      <c r="R67" s="313"/>
      <c r="S67" s="26"/>
      <c r="T67" s="31"/>
      <c r="V67" s="67"/>
      <c r="W67" s="24"/>
      <c r="Z67" s="269"/>
      <c r="AA67" s="45"/>
      <c r="AB67" s="254"/>
      <c r="AD67" s="254"/>
      <c r="AF67" s="254"/>
      <c r="AH67" s="254"/>
      <c r="AJ67" s="255"/>
      <c r="AK67" s="45"/>
      <c r="AL67" s="254"/>
      <c r="AN67" s="254"/>
      <c r="AR67" s="254"/>
      <c r="AT67" s="254"/>
      <c r="AV67" s="255"/>
      <c r="AW67" s="44"/>
      <c r="AX67" s="44"/>
      <c r="AY67" s="47"/>
      <c r="AZ67" s="31"/>
      <c r="BA67" s="34"/>
      <c r="BB67" s="26"/>
    </row>
    <row r="68" ht="18.0" customHeight="1">
      <c r="A68" s="1"/>
      <c r="B68" s="26"/>
      <c r="C68" s="32"/>
      <c r="F68" s="33"/>
      <c r="G68" s="26"/>
      <c r="H68" s="30"/>
      <c r="I68" s="26"/>
      <c r="J68" s="32"/>
      <c r="R68" s="33"/>
      <c r="S68" s="26"/>
      <c r="T68" s="31"/>
      <c r="V68" s="246"/>
      <c r="W68" s="24" t="s">
        <v>152</v>
      </c>
      <c r="Z68" s="253"/>
      <c r="AA68" s="45"/>
      <c r="AB68" s="274">
        <f>SUM($AB58:AC58)/$P$62</f>
        <v>-0.211630871</v>
      </c>
      <c r="AD68" s="274">
        <f>SUM($AB58:AE58)/$P$62</f>
        <v>-0.4024120168</v>
      </c>
      <c r="AF68" s="274">
        <f>SUM($AB58:AG58)/$P$62</f>
        <v>-0.5708247252</v>
      </c>
      <c r="AH68" s="274">
        <f>SUM($AB58:AI58)/$P$62</f>
        <v>-0.7152404202</v>
      </c>
      <c r="AJ68" s="275">
        <f>SUM($AB58:AK58)/$P$62</f>
        <v>-0.8339127581</v>
      </c>
      <c r="AK68" s="45"/>
      <c r="AL68" s="274">
        <f>SUM($AB58:AM58)/$P$62</f>
        <v>-0.9249691585</v>
      </c>
      <c r="AN68" s="274">
        <f>SUM($AB58:AO58)/$P$62</f>
        <v>-0.9864017272</v>
      </c>
      <c r="AR68" s="274">
        <f>SUM($AB58:AS58)/$P$62</f>
        <v>-1.016057531</v>
      </c>
      <c r="AT68" s="274">
        <f>SUM($AB58:AU58)/$P$62</f>
        <v>-1.012241693</v>
      </c>
      <c r="AV68" s="275">
        <f>SUM($AB58:AY58)/$P$62</f>
        <v>-0.9718656715</v>
      </c>
      <c r="AW68" s="44"/>
      <c r="AX68" s="44"/>
      <c r="AY68" s="47"/>
      <c r="AZ68" s="31"/>
      <c r="BA68" s="34"/>
      <c r="BB68" s="26"/>
    </row>
    <row r="69" ht="19.5" customHeight="1">
      <c r="A69" s="1"/>
      <c r="B69" s="26"/>
      <c r="C69" s="32"/>
      <c r="F69" s="33"/>
      <c r="G69" s="26"/>
      <c r="H69" s="30"/>
      <c r="I69" s="26"/>
      <c r="J69" s="32"/>
      <c r="R69" s="33"/>
      <c r="S69" s="26"/>
      <c r="T69" s="31"/>
      <c r="V69" s="246"/>
      <c r="W69" s="51" t="s">
        <v>51</v>
      </c>
      <c r="X69" s="55"/>
      <c r="Y69" s="55"/>
      <c r="Z69" s="314"/>
      <c r="AA69" s="9"/>
      <c r="AB69" s="315">
        <f>((AB49-$Z49)+AB58)/P62</f>
        <v>0.4441363095</v>
      </c>
      <c r="AC69" s="55"/>
      <c r="AD69" s="315">
        <f>((AD49-$Z49)+AD59)/$P62</f>
        <v>0.9601661429</v>
      </c>
      <c r="AE69" s="55"/>
      <c r="AF69" s="315">
        <f>((AF49-$Z49)+AF59)/$P62</f>
        <v>1.553602785</v>
      </c>
      <c r="AG69" s="55"/>
      <c r="AH69" s="315">
        <f>((AH49-$Z49)+AH59)/$P62</f>
        <v>2.075013924</v>
      </c>
      <c r="AI69" s="55"/>
      <c r="AJ69" s="316">
        <f>((AJ49-$Z49)+AJ59)/$P62</f>
        <v>2.665895986</v>
      </c>
      <c r="AK69" s="9"/>
      <c r="AL69" s="315">
        <f>((AL49-$Z49)+AL59)/$P62</f>
        <v>3.329068127</v>
      </c>
      <c r="AM69" s="55"/>
      <c r="AN69" s="315">
        <f>((AN49-$Z49)+AN59)/$P62</f>
        <v>4.069350968</v>
      </c>
      <c r="AO69" s="55"/>
      <c r="AP69" s="55"/>
      <c r="AQ69" s="55"/>
      <c r="AR69" s="315">
        <f>((AR49-$Z49)+AR59)/$P62</f>
        <v>4.884466839</v>
      </c>
      <c r="AS69" s="55"/>
      <c r="AT69" s="315">
        <f>((AT49-$Z49)+AT59)/$P62</f>
        <v>5.794294975</v>
      </c>
      <c r="AU69" s="55"/>
      <c r="AV69" s="316">
        <f>((AV49-$Z49)+AV59)/$P62</f>
        <v>6.797726583</v>
      </c>
      <c r="AW69" s="8"/>
      <c r="AX69" s="8"/>
      <c r="AY69" s="108"/>
      <c r="AZ69" s="31"/>
      <c r="BA69" s="34"/>
      <c r="BB69" s="26"/>
    </row>
    <row r="70" ht="9.0" customHeight="1">
      <c r="A70" s="1"/>
      <c r="B70" s="26"/>
      <c r="C70" s="32"/>
      <c r="F70" s="33"/>
      <c r="G70" s="26"/>
      <c r="H70" s="30"/>
      <c r="I70" s="26"/>
      <c r="J70" s="32"/>
      <c r="R70" s="33"/>
      <c r="S70" s="26"/>
      <c r="T70" s="317"/>
      <c r="U70" s="96"/>
      <c r="V70" s="318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317"/>
      <c r="BA70" s="319"/>
      <c r="BB70" s="26"/>
    </row>
    <row r="71" ht="19.5" customHeight="1">
      <c r="A71" s="1"/>
      <c r="B71" s="26"/>
      <c r="C71" s="32"/>
      <c r="F71" s="33"/>
      <c r="G71" s="26"/>
      <c r="H71" s="30"/>
      <c r="I71" s="26"/>
      <c r="J71" s="36"/>
      <c r="K71" s="28"/>
      <c r="L71" s="28"/>
      <c r="M71" s="28"/>
      <c r="N71" s="28"/>
      <c r="O71" s="28"/>
      <c r="P71" s="28"/>
      <c r="Q71" s="28"/>
      <c r="R71" s="37"/>
      <c r="S71" s="26"/>
      <c r="T71" s="320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5"/>
      <c r="BB71" s="26"/>
    </row>
    <row r="72" ht="17.25" customHeight="1">
      <c r="A72" s="1"/>
      <c r="B72" s="26"/>
      <c r="C72" s="32"/>
      <c r="F72" s="33"/>
      <c r="G72" s="26"/>
      <c r="H72" s="30"/>
      <c r="I72" s="26"/>
      <c r="J72" s="321" t="s">
        <v>153</v>
      </c>
      <c r="K72" s="80"/>
      <c r="L72" s="80"/>
      <c r="M72" s="80"/>
      <c r="N72" s="80"/>
      <c r="O72" s="80"/>
      <c r="P72" s="80"/>
      <c r="Q72" s="80"/>
      <c r="R72" s="81"/>
      <c r="S72" s="26"/>
      <c r="T72" s="321" t="s">
        <v>154</v>
      </c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1"/>
      <c r="BB72" s="26"/>
    </row>
    <row r="73" ht="14.25" customHeight="1">
      <c r="A73" s="1"/>
      <c r="B73" s="26"/>
      <c r="C73" s="32"/>
      <c r="F73" s="33"/>
      <c r="G73" s="26"/>
      <c r="H73" s="30"/>
      <c r="I73" s="26"/>
      <c r="J73" s="32"/>
      <c r="R73" s="33"/>
      <c r="S73" s="26"/>
      <c r="T73" s="32"/>
      <c r="BA73" s="33"/>
      <c r="BB73" s="26"/>
    </row>
    <row r="74" ht="14.25" customHeight="1">
      <c r="A74" s="1"/>
      <c r="B74" s="26"/>
      <c r="C74" s="32"/>
      <c r="F74" s="33"/>
      <c r="G74" s="26"/>
      <c r="H74" s="30"/>
      <c r="I74" s="26"/>
      <c r="J74" s="36"/>
      <c r="K74" s="28"/>
      <c r="L74" s="28"/>
      <c r="M74" s="28"/>
      <c r="N74" s="28"/>
      <c r="O74" s="28"/>
      <c r="P74" s="28"/>
      <c r="Q74" s="28"/>
      <c r="R74" s="37"/>
      <c r="S74" s="26"/>
      <c r="T74" s="36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37"/>
      <c r="BB74" s="26"/>
    </row>
    <row r="75" ht="19.5" customHeight="1">
      <c r="A75" s="1"/>
      <c r="B75" s="26"/>
      <c r="C75" s="32"/>
      <c r="F75" s="33"/>
      <c r="G75" s="26"/>
      <c r="H75" s="30"/>
      <c r="I75" s="26"/>
      <c r="J75" s="322"/>
      <c r="K75" s="323" t="s">
        <v>155</v>
      </c>
      <c r="L75" s="324"/>
      <c r="M75" s="324"/>
      <c r="N75" s="324"/>
      <c r="O75" s="324"/>
      <c r="P75" s="325"/>
      <c r="Q75" s="326"/>
      <c r="R75" s="313"/>
      <c r="S75" s="26"/>
      <c r="T75" s="23"/>
      <c r="U75" s="24"/>
      <c r="V75" s="327"/>
      <c r="W75" s="328"/>
      <c r="X75" s="328"/>
      <c r="Y75" s="329"/>
      <c r="Z75" s="330"/>
      <c r="AA75" s="329"/>
      <c r="AB75" s="331">
        <v>1.0</v>
      </c>
      <c r="AC75" s="329"/>
      <c r="AD75" s="331">
        <v>2.0</v>
      </c>
      <c r="AE75" s="329"/>
      <c r="AF75" s="331">
        <v>3.0</v>
      </c>
      <c r="AG75" s="329"/>
      <c r="AH75" s="331">
        <v>4.0</v>
      </c>
      <c r="AI75" s="329"/>
      <c r="AJ75" s="332">
        <v>5.0</v>
      </c>
      <c r="AK75" s="333"/>
      <c r="AL75" s="331">
        <v>6.0</v>
      </c>
      <c r="AM75" s="329"/>
      <c r="AN75" s="331">
        <v>7.0</v>
      </c>
      <c r="AO75" s="328"/>
      <c r="AP75" s="328"/>
      <c r="AQ75" s="329"/>
      <c r="AR75" s="331">
        <v>8.0</v>
      </c>
      <c r="AS75" s="329"/>
      <c r="AT75" s="331">
        <v>9.0</v>
      </c>
      <c r="AU75" s="329"/>
      <c r="AV75" s="332">
        <v>10.0</v>
      </c>
      <c r="AW75" s="328"/>
      <c r="AX75" s="328"/>
      <c r="AY75" s="333"/>
      <c r="AZ75" s="334"/>
      <c r="BA75" s="67"/>
      <c r="BB75" s="26"/>
    </row>
    <row r="76" ht="18.0" customHeight="1">
      <c r="A76" s="1"/>
      <c r="B76" s="26"/>
      <c r="C76" s="32"/>
      <c r="F76" s="33"/>
      <c r="G76" s="26"/>
      <c r="H76" s="30"/>
      <c r="I76" s="26"/>
      <c r="J76" s="26"/>
      <c r="K76" s="335"/>
      <c r="L76" s="336" t="s">
        <v>156</v>
      </c>
      <c r="M76" s="337">
        <v>350.0</v>
      </c>
      <c r="N76" s="338" t="s">
        <v>157</v>
      </c>
      <c r="O76" s="80"/>
      <c r="P76" s="339"/>
      <c r="Q76" s="32"/>
      <c r="R76" s="33"/>
      <c r="S76" s="26"/>
      <c r="T76" s="31"/>
      <c r="V76" s="340"/>
      <c r="W76" s="341" t="s">
        <v>158</v>
      </c>
      <c r="X76" s="44"/>
      <c r="Y76" s="45"/>
      <c r="Z76" s="342"/>
      <c r="AA76" s="45"/>
      <c r="AB76" s="343"/>
      <c r="AC76" s="45"/>
      <c r="AD76" s="343"/>
      <c r="AE76" s="45"/>
      <c r="AF76" s="343"/>
      <c r="AG76" s="45"/>
      <c r="AH76" s="343"/>
      <c r="AI76" s="45"/>
      <c r="AJ76" s="344"/>
      <c r="AK76" s="47"/>
      <c r="AL76" s="343"/>
      <c r="AM76" s="45"/>
      <c r="AN76" s="343"/>
      <c r="AO76" s="44"/>
      <c r="AP76" s="44"/>
      <c r="AQ76" s="45"/>
      <c r="AR76" s="343"/>
      <c r="AS76" s="45"/>
      <c r="AT76" s="343"/>
      <c r="AU76" s="45"/>
      <c r="AV76" s="344"/>
      <c r="AW76" s="44"/>
      <c r="AX76" s="44"/>
      <c r="AY76" s="47"/>
      <c r="BA76" s="34"/>
      <c r="BB76" s="26"/>
    </row>
    <row r="77" ht="18.0" customHeight="1" outlineLevel="1">
      <c r="A77" s="1"/>
      <c r="B77" s="26"/>
      <c r="C77" s="32"/>
      <c r="F77" s="33"/>
      <c r="G77" s="26"/>
      <c r="H77" s="30"/>
      <c r="I77" s="26"/>
      <c r="J77" s="26"/>
      <c r="K77" s="34"/>
      <c r="L77" s="345" t="s">
        <v>159</v>
      </c>
      <c r="M77" s="346" t="s">
        <v>160</v>
      </c>
      <c r="N77" s="347"/>
      <c r="O77" s="21"/>
      <c r="P77" s="348"/>
      <c r="Q77" s="32"/>
      <c r="R77" s="33"/>
      <c r="S77" s="26"/>
      <c r="T77" s="31"/>
      <c r="V77" s="67"/>
      <c r="W77" s="24" t="s">
        <v>161</v>
      </c>
      <c r="Z77" s="349"/>
      <c r="AA77" s="45"/>
      <c r="AB77" s="350">
        <v>0.0</v>
      </c>
      <c r="AC77" s="45"/>
      <c r="AD77" s="350">
        <v>0.0</v>
      </c>
      <c r="AE77" s="45"/>
      <c r="AF77" s="351">
        <v>10000.0</v>
      </c>
      <c r="AG77" s="45"/>
      <c r="AH77" s="350">
        <v>0.0</v>
      </c>
      <c r="AI77" s="45"/>
      <c r="AJ77" s="352">
        <v>0.0</v>
      </c>
      <c r="AK77" s="47"/>
      <c r="AL77" s="351">
        <v>10000.0</v>
      </c>
      <c r="AM77" s="45"/>
      <c r="AN77" s="350">
        <v>0.0</v>
      </c>
      <c r="AO77" s="44"/>
      <c r="AP77" s="44"/>
      <c r="AQ77" s="45"/>
      <c r="AR77" s="350">
        <v>0.0</v>
      </c>
      <c r="AS77" s="45"/>
      <c r="AT77" s="350">
        <v>0.0</v>
      </c>
      <c r="AU77" s="45"/>
      <c r="AV77" s="352">
        <v>0.0</v>
      </c>
      <c r="AW77" s="44"/>
      <c r="AX77" s="44"/>
      <c r="AY77" s="47"/>
      <c r="BA77" s="34"/>
      <c r="BB77" s="26"/>
    </row>
    <row r="78" ht="18.0" customHeight="1" outlineLevel="1">
      <c r="A78" s="353"/>
      <c r="B78" s="26"/>
      <c r="C78" s="32"/>
      <c r="F78" s="33"/>
      <c r="G78" s="26"/>
      <c r="H78" s="30"/>
      <c r="I78" s="26"/>
      <c r="J78" s="26"/>
      <c r="K78" s="34"/>
      <c r="L78" s="345" t="s">
        <v>162</v>
      </c>
      <c r="M78" s="354">
        <v>0.01</v>
      </c>
      <c r="N78" s="34"/>
      <c r="P78" s="31"/>
      <c r="Q78" s="32"/>
      <c r="R78" s="33"/>
      <c r="S78" s="26"/>
      <c r="T78" s="31"/>
      <c r="V78" s="67"/>
      <c r="W78" s="69" t="s">
        <v>163</v>
      </c>
      <c r="Z78" s="349"/>
      <c r="AA78" s="45"/>
      <c r="AB78" s="350">
        <v>0.0</v>
      </c>
      <c r="AC78" s="45"/>
      <c r="AD78" s="350">
        <v>0.0</v>
      </c>
      <c r="AE78" s="45"/>
      <c r="AF78" s="350">
        <v>0.0</v>
      </c>
      <c r="AG78" s="45"/>
      <c r="AH78" s="350">
        <v>0.0</v>
      </c>
      <c r="AI78" s="45"/>
      <c r="AJ78" s="352">
        <v>0.0</v>
      </c>
      <c r="AK78" s="47"/>
      <c r="AL78" s="350">
        <v>0.0</v>
      </c>
      <c r="AM78" s="45"/>
      <c r="AN78" s="350">
        <v>0.0</v>
      </c>
      <c r="AO78" s="44"/>
      <c r="AP78" s="44"/>
      <c r="AQ78" s="45"/>
      <c r="AR78" s="350">
        <v>0.0</v>
      </c>
      <c r="AS78" s="45"/>
      <c r="AT78" s="350">
        <v>0.0</v>
      </c>
      <c r="AU78" s="45"/>
      <c r="AV78" s="352">
        <v>0.0</v>
      </c>
      <c r="AW78" s="44"/>
      <c r="AX78" s="44"/>
      <c r="AY78" s="47"/>
      <c r="BA78" s="34"/>
      <c r="BB78" s="26"/>
    </row>
    <row r="79" ht="18.0" customHeight="1" outlineLevel="1">
      <c r="A79" s="355"/>
      <c r="B79" s="26"/>
      <c r="C79" s="32"/>
      <c r="F79" s="33"/>
      <c r="G79" s="26"/>
      <c r="H79" s="30"/>
      <c r="I79" s="26"/>
      <c r="J79" s="26"/>
      <c r="K79" s="34"/>
      <c r="L79" s="345" t="s">
        <v>164</v>
      </c>
      <c r="M79" s="346" t="s">
        <v>165</v>
      </c>
      <c r="N79" s="34"/>
      <c r="P79" s="31"/>
      <c r="Q79" s="32"/>
      <c r="R79" s="33"/>
      <c r="S79" s="26"/>
      <c r="T79" s="31"/>
      <c r="V79" s="67"/>
      <c r="W79" s="69" t="s">
        <v>166</v>
      </c>
      <c r="Z79" s="269"/>
      <c r="AA79" s="45"/>
      <c r="AB79" s="350">
        <v>0.0</v>
      </c>
      <c r="AC79" s="45"/>
      <c r="AD79" s="350">
        <v>0.0</v>
      </c>
      <c r="AE79" s="45"/>
      <c r="AF79" s="350">
        <v>0.0</v>
      </c>
      <c r="AG79" s="45"/>
      <c r="AH79" s="350">
        <v>0.0</v>
      </c>
      <c r="AI79" s="45"/>
      <c r="AJ79" s="352">
        <v>0.0</v>
      </c>
      <c r="AK79" s="47"/>
      <c r="AL79" s="350">
        <v>0.0</v>
      </c>
      <c r="AM79" s="45"/>
      <c r="AN79" s="350">
        <v>0.0</v>
      </c>
      <c r="AO79" s="44"/>
      <c r="AP79" s="44"/>
      <c r="AQ79" s="45"/>
      <c r="AR79" s="350">
        <v>0.0</v>
      </c>
      <c r="AS79" s="45"/>
      <c r="AT79" s="350">
        <v>0.0</v>
      </c>
      <c r="AU79" s="45"/>
      <c r="AV79" s="352">
        <v>0.0</v>
      </c>
      <c r="AW79" s="44"/>
      <c r="AX79" s="44"/>
      <c r="AY79" s="47"/>
      <c r="BA79" s="34"/>
      <c r="BB79" s="26"/>
    </row>
    <row r="80" ht="18.0" customHeight="1">
      <c r="A80" s="1"/>
      <c r="B80" s="26"/>
      <c r="C80" s="32"/>
      <c r="F80" s="33"/>
      <c r="G80" s="26"/>
      <c r="H80" s="30"/>
      <c r="I80" s="26"/>
      <c r="J80" s="26"/>
      <c r="K80" s="34"/>
      <c r="L80" s="345" t="s">
        <v>167</v>
      </c>
      <c r="M80" s="356">
        <v>0.0</v>
      </c>
      <c r="N80" s="34"/>
      <c r="P80" s="31"/>
      <c r="Q80" s="32"/>
      <c r="R80" s="33"/>
      <c r="S80" s="26"/>
      <c r="T80" s="31"/>
      <c r="V80" s="357"/>
      <c r="W80" s="358" t="s">
        <v>168</v>
      </c>
      <c r="X80" s="251"/>
      <c r="Y80" s="93"/>
      <c r="Z80" s="359"/>
      <c r="AA80" s="93"/>
      <c r="AB80" s="360"/>
      <c r="AC80" s="93"/>
      <c r="AD80" s="360"/>
      <c r="AE80" s="93"/>
      <c r="AF80" s="360"/>
      <c r="AG80" s="93"/>
      <c r="AH80" s="360"/>
      <c r="AI80" s="93"/>
      <c r="AJ80" s="361"/>
      <c r="AK80" s="158"/>
      <c r="AL80" s="360"/>
      <c r="AM80" s="93"/>
      <c r="AN80" s="360"/>
      <c r="AO80" s="251"/>
      <c r="AP80" s="251"/>
      <c r="AQ80" s="93"/>
      <c r="AR80" s="360"/>
      <c r="AS80" s="93"/>
      <c r="AT80" s="360"/>
      <c r="AU80" s="93"/>
      <c r="AV80" s="361"/>
      <c r="AW80" s="251"/>
      <c r="AX80" s="251"/>
      <c r="AY80" s="158"/>
      <c r="BA80" s="34"/>
      <c r="BB80" s="26"/>
    </row>
    <row r="81" ht="18.0" customHeight="1" outlineLevel="1">
      <c r="A81" s="1"/>
      <c r="B81" s="26"/>
      <c r="C81" s="32"/>
      <c r="F81" s="33"/>
      <c r="G81" s="26"/>
      <c r="H81" s="30"/>
      <c r="I81" s="26"/>
      <c r="J81" s="26"/>
      <c r="K81" s="34"/>
      <c r="L81" s="345" t="s">
        <v>169</v>
      </c>
      <c r="M81" s="356">
        <v>0.22</v>
      </c>
      <c r="N81" s="34"/>
      <c r="P81" s="31"/>
      <c r="Q81" s="32"/>
      <c r="R81" s="33"/>
      <c r="S81" s="26"/>
      <c r="T81" s="31"/>
      <c r="V81" s="67"/>
      <c r="W81" s="24" t="s">
        <v>161</v>
      </c>
      <c r="Z81" s="362"/>
      <c r="AA81" s="45"/>
      <c r="AB81" s="350">
        <v>0.0</v>
      </c>
      <c r="AC81" s="45"/>
      <c r="AD81" s="350">
        <v>0.0</v>
      </c>
      <c r="AE81" s="45"/>
      <c r="AF81" s="350">
        <v>0.0</v>
      </c>
      <c r="AG81" s="45"/>
      <c r="AH81" s="350">
        <v>0.0</v>
      </c>
      <c r="AI81" s="45"/>
      <c r="AJ81" s="352">
        <v>0.0</v>
      </c>
      <c r="AK81" s="47"/>
      <c r="AL81" s="350">
        <v>0.0</v>
      </c>
      <c r="AM81" s="45"/>
      <c r="AN81" s="350">
        <v>0.0</v>
      </c>
      <c r="AO81" s="44"/>
      <c r="AP81" s="44"/>
      <c r="AQ81" s="45"/>
      <c r="AR81" s="350">
        <v>0.0</v>
      </c>
      <c r="AS81" s="45"/>
      <c r="AT81" s="350">
        <v>0.0</v>
      </c>
      <c r="AU81" s="45"/>
      <c r="AV81" s="352">
        <v>0.0</v>
      </c>
      <c r="AW81" s="44"/>
      <c r="AX81" s="44"/>
      <c r="AY81" s="47"/>
      <c r="BA81" s="34"/>
      <c r="BB81" s="26"/>
    </row>
    <row r="82" ht="18.0" customHeight="1" outlineLevel="1">
      <c r="A82" s="1"/>
      <c r="B82" s="26"/>
      <c r="C82" s="32"/>
      <c r="F82" s="33"/>
      <c r="G82" s="26"/>
      <c r="H82" s="30"/>
      <c r="I82" s="26"/>
      <c r="J82" s="26"/>
      <c r="K82" s="34"/>
      <c r="L82" s="345" t="s">
        <v>170</v>
      </c>
      <c r="M82" s="346" t="s">
        <v>171</v>
      </c>
      <c r="N82" s="34"/>
      <c r="P82" s="31"/>
      <c r="Q82" s="32"/>
      <c r="R82" s="33"/>
      <c r="S82" s="26"/>
      <c r="T82" s="31"/>
      <c r="V82" s="67"/>
      <c r="W82" s="69" t="s">
        <v>163</v>
      </c>
      <c r="Z82" s="253"/>
      <c r="AA82" s="45"/>
      <c r="AB82" s="350">
        <v>0.0</v>
      </c>
      <c r="AC82" s="45"/>
      <c r="AD82" s="350">
        <v>0.0</v>
      </c>
      <c r="AE82" s="45"/>
      <c r="AF82" s="350">
        <v>0.0</v>
      </c>
      <c r="AG82" s="45"/>
      <c r="AH82" s="350">
        <v>0.0</v>
      </c>
      <c r="AI82" s="45"/>
      <c r="AJ82" s="352">
        <v>0.0</v>
      </c>
      <c r="AK82" s="47"/>
      <c r="AL82" s="350">
        <v>0.0</v>
      </c>
      <c r="AM82" s="45"/>
      <c r="AN82" s="350">
        <v>0.0</v>
      </c>
      <c r="AO82" s="44"/>
      <c r="AP82" s="44"/>
      <c r="AQ82" s="45"/>
      <c r="AR82" s="350">
        <v>0.0</v>
      </c>
      <c r="AS82" s="45"/>
      <c r="AT82" s="350">
        <v>0.0</v>
      </c>
      <c r="AU82" s="45"/>
      <c r="AV82" s="352">
        <v>0.0</v>
      </c>
      <c r="AW82" s="44"/>
      <c r="AX82" s="44"/>
      <c r="AY82" s="47"/>
      <c r="BA82" s="34"/>
      <c r="BB82" s="26"/>
    </row>
    <row r="83" ht="18.0" customHeight="1" outlineLevel="1">
      <c r="A83" s="1"/>
      <c r="B83" s="26"/>
      <c r="C83" s="32"/>
      <c r="F83" s="33"/>
      <c r="G83" s="26"/>
      <c r="H83" s="30"/>
      <c r="I83" s="26"/>
      <c r="J83" s="26"/>
      <c r="K83" s="34"/>
      <c r="L83" s="345" t="s">
        <v>172</v>
      </c>
      <c r="M83" s="346" t="s">
        <v>173</v>
      </c>
      <c r="N83" s="34"/>
      <c r="P83" s="31"/>
      <c r="Q83" s="32"/>
      <c r="R83" s="33"/>
      <c r="S83" s="26"/>
      <c r="T83" s="31"/>
      <c r="V83" s="67"/>
      <c r="W83" s="69" t="s">
        <v>166</v>
      </c>
      <c r="Z83" s="269"/>
      <c r="AA83" s="45"/>
      <c r="AB83" s="350">
        <v>0.0</v>
      </c>
      <c r="AC83" s="45"/>
      <c r="AD83" s="350">
        <v>0.0</v>
      </c>
      <c r="AE83" s="45"/>
      <c r="AF83" s="350">
        <v>0.0</v>
      </c>
      <c r="AG83" s="45"/>
      <c r="AH83" s="350">
        <v>0.0</v>
      </c>
      <c r="AI83" s="45"/>
      <c r="AJ83" s="352">
        <v>0.0</v>
      </c>
      <c r="AK83" s="47"/>
      <c r="AL83" s="350">
        <v>0.0</v>
      </c>
      <c r="AM83" s="45"/>
      <c r="AN83" s="350">
        <v>0.0</v>
      </c>
      <c r="AO83" s="44"/>
      <c r="AP83" s="44"/>
      <c r="AQ83" s="45"/>
      <c r="AR83" s="350">
        <v>0.0</v>
      </c>
      <c r="AS83" s="45"/>
      <c r="AT83" s="350">
        <v>0.0</v>
      </c>
      <c r="AU83" s="45"/>
      <c r="AV83" s="352">
        <v>0.0</v>
      </c>
      <c r="AW83" s="44"/>
      <c r="AX83" s="44"/>
      <c r="AY83" s="47"/>
      <c r="BA83" s="34"/>
      <c r="BB83" s="26"/>
    </row>
    <row r="84" ht="18.0" customHeight="1">
      <c r="A84" s="1"/>
      <c r="B84" s="26"/>
      <c r="C84" s="32"/>
      <c r="F84" s="33"/>
      <c r="G84" s="26"/>
      <c r="H84" s="30"/>
      <c r="I84" s="26"/>
      <c r="J84" s="26"/>
      <c r="K84" s="199"/>
      <c r="L84" s="363" t="s">
        <v>174</v>
      </c>
      <c r="M84" s="364"/>
      <c r="N84" s="199"/>
      <c r="O84" s="55"/>
      <c r="P84" s="200"/>
      <c r="Q84" s="32"/>
      <c r="R84" s="33"/>
      <c r="S84" s="26"/>
      <c r="T84" s="31"/>
      <c r="V84" s="357"/>
      <c r="W84" s="358" t="s">
        <v>175</v>
      </c>
      <c r="X84" s="251"/>
      <c r="Y84" s="93"/>
      <c r="Z84" s="359"/>
      <c r="AA84" s="93"/>
      <c r="AB84" s="360"/>
      <c r="AC84" s="93"/>
      <c r="AD84" s="360"/>
      <c r="AE84" s="93"/>
      <c r="AF84" s="360"/>
      <c r="AG84" s="93"/>
      <c r="AH84" s="360"/>
      <c r="AI84" s="93"/>
      <c r="AJ84" s="361"/>
      <c r="AK84" s="158"/>
      <c r="AL84" s="360"/>
      <c r="AM84" s="93"/>
      <c r="AN84" s="360"/>
      <c r="AO84" s="251"/>
      <c r="AP84" s="251"/>
      <c r="AQ84" s="93"/>
      <c r="AR84" s="360"/>
      <c r="AS84" s="93"/>
      <c r="AT84" s="360"/>
      <c r="AU84" s="93"/>
      <c r="AV84" s="361"/>
      <c r="AW84" s="251"/>
      <c r="AX84" s="251"/>
      <c r="AY84" s="158"/>
      <c r="BA84" s="34"/>
      <c r="BB84" s="26"/>
    </row>
    <row r="85" ht="18.0" customHeight="1" outlineLevel="1">
      <c r="A85" s="1"/>
      <c r="B85" s="26"/>
      <c r="C85" s="32"/>
      <c r="F85" s="33"/>
      <c r="G85" s="26"/>
      <c r="H85" s="30"/>
      <c r="I85" s="26"/>
      <c r="J85" s="365"/>
      <c r="K85" s="366"/>
      <c r="L85" s="367"/>
      <c r="M85" s="367"/>
      <c r="N85" s="367"/>
      <c r="O85" s="367"/>
      <c r="P85" s="368"/>
      <c r="Q85" s="113"/>
      <c r="R85" s="114"/>
      <c r="S85" s="26"/>
      <c r="T85" s="31"/>
      <c r="V85" s="67"/>
      <c r="W85" s="24" t="s">
        <v>161</v>
      </c>
      <c r="Z85" s="362"/>
      <c r="AA85" s="45"/>
      <c r="AB85" s="350">
        <v>0.0</v>
      </c>
      <c r="AC85" s="45"/>
      <c r="AD85" s="350">
        <v>0.0</v>
      </c>
      <c r="AE85" s="45"/>
      <c r="AF85" s="350">
        <v>0.0</v>
      </c>
      <c r="AG85" s="45"/>
      <c r="AH85" s="350">
        <v>0.0</v>
      </c>
      <c r="AI85" s="45"/>
      <c r="AJ85" s="352">
        <v>0.0</v>
      </c>
      <c r="AK85" s="47"/>
      <c r="AL85" s="350">
        <v>0.0</v>
      </c>
      <c r="AM85" s="45"/>
      <c r="AN85" s="350">
        <v>0.0</v>
      </c>
      <c r="AO85" s="44"/>
      <c r="AP85" s="44"/>
      <c r="AQ85" s="45"/>
      <c r="AR85" s="350">
        <v>0.0</v>
      </c>
      <c r="AS85" s="45"/>
      <c r="AT85" s="350">
        <v>0.0</v>
      </c>
      <c r="AU85" s="45"/>
      <c r="AV85" s="352">
        <v>0.0</v>
      </c>
      <c r="AW85" s="44"/>
      <c r="AX85" s="44"/>
      <c r="AY85" s="47"/>
      <c r="BA85" s="34"/>
      <c r="BB85" s="26"/>
    </row>
    <row r="86" ht="18.0" customHeight="1" outlineLevel="1">
      <c r="A86" s="1"/>
      <c r="B86" s="26"/>
      <c r="C86" s="32"/>
      <c r="F86" s="33"/>
      <c r="G86" s="26"/>
      <c r="H86" s="30"/>
      <c r="I86" s="26"/>
      <c r="J86" s="202"/>
      <c r="K86" s="21"/>
      <c r="L86" s="21"/>
      <c r="M86" s="21"/>
      <c r="N86" s="21"/>
      <c r="O86" s="21"/>
      <c r="P86" s="21"/>
      <c r="Q86" s="21"/>
      <c r="R86" s="22"/>
      <c r="S86" s="26"/>
      <c r="T86" s="31"/>
      <c r="V86" s="67"/>
      <c r="W86" s="69" t="s">
        <v>163</v>
      </c>
      <c r="Z86" s="253"/>
      <c r="AA86" s="45"/>
      <c r="AB86" s="350">
        <v>0.0</v>
      </c>
      <c r="AC86" s="45"/>
      <c r="AD86" s="350">
        <v>0.0</v>
      </c>
      <c r="AE86" s="45"/>
      <c r="AF86" s="350">
        <v>0.0</v>
      </c>
      <c r="AG86" s="45"/>
      <c r="AH86" s="350">
        <v>0.0</v>
      </c>
      <c r="AI86" s="45"/>
      <c r="AJ86" s="352">
        <v>0.0</v>
      </c>
      <c r="AK86" s="47"/>
      <c r="AL86" s="350">
        <v>0.0</v>
      </c>
      <c r="AM86" s="45"/>
      <c r="AN86" s="350">
        <v>0.0</v>
      </c>
      <c r="AO86" s="44"/>
      <c r="AP86" s="44"/>
      <c r="AQ86" s="45"/>
      <c r="AR86" s="350">
        <v>0.0</v>
      </c>
      <c r="AS86" s="45"/>
      <c r="AT86" s="350">
        <v>0.0</v>
      </c>
      <c r="AU86" s="45"/>
      <c r="AV86" s="352">
        <v>0.0</v>
      </c>
      <c r="AW86" s="44"/>
      <c r="AX86" s="44"/>
      <c r="AY86" s="47"/>
      <c r="BA86" s="34"/>
      <c r="BB86" s="26"/>
    </row>
    <row r="87" ht="18.0" customHeight="1" outlineLevel="1">
      <c r="A87" s="1"/>
      <c r="B87" s="26"/>
      <c r="C87" s="32"/>
      <c r="F87" s="33"/>
      <c r="G87" s="26"/>
      <c r="H87" s="30"/>
      <c r="I87" s="26"/>
      <c r="J87" s="32"/>
      <c r="R87" s="33"/>
      <c r="S87" s="26"/>
      <c r="T87" s="31"/>
      <c r="V87" s="67"/>
      <c r="W87" s="69" t="s">
        <v>166</v>
      </c>
      <c r="Z87" s="269"/>
      <c r="AA87" s="45"/>
      <c r="AB87" s="350">
        <v>0.0</v>
      </c>
      <c r="AC87" s="45"/>
      <c r="AD87" s="350">
        <v>0.0</v>
      </c>
      <c r="AE87" s="45"/>
      <c r="AF87" s="350">
        <v>0.0</v>
      </c>
      <c r="AG87" s="45"/>
      <c r="AH87" s="350">
        <v>0.0</v>
      </c>
      <c r="AI87" s="45"/>
      <c r="AJ87" s="352">
        <v>0.0</v>
      </c>
      <c r="AK87" s="47"/>
      <c r="AL87" s="350">
        <v>0.0</v>
      </c>
      <c r="AM87" s="45"/>
      <c r="AN87" s="350">
        <v>0.0</v>
      </c>
      <c r="AO87" s="44"/>
      <c r="AP87" s="44"/>
      <c r="AQ87" s="45"/>
      <c r="AR87" s="350">
        <v>0.0</v>
      </c>
      <c r="AS87" s="45"/>
      <c r="AT87" s="350">
        <v>0.0</v>
      </c>
      <c r="AU87" s="45"/>
      <c r="AV87" s="352">
        <v>0.0</v>
      </c>
      <c r="AW87" s="44"/>
      <c r="AX87" s="44"/>
      <c r="AY87" s="47"/>
      <c r="BA87" s="34"/>
      <c r="BB87" s="26"/>
    </row>
    <row r="88" ht="18.0" customHeight="1">
      <c r="A88" s="1"/>
      <c r="B88" s="26"/>
      <c r="C88" s="32"/>
      <c r="F88" s="33"/>
      <c r="G88" s="26"/>
      <c r="H88" s="30"/>
      <c r="I88" s="26"/>
      <c r="J88" s="32"/>
      <c r="R88" s="33"/>
      <c r="S88" s="26"/>
      <c r="T88" s="31"/>
      <c r="V88" s="357"/>
      <c r="W88" s="358" t="s">
        <v>176</v>
      </c>
      <c r="X88" s="251"/>
      <c r="Y88" s="93"/>
      <c r="Z88" s="359"/>
      <c r="AA88" s="93"/>
      <c r="AB88" s="360"/>
      <c r="AC88" s="93"/>
      <c r="AD88" s="360"/>
      <c r="AE88" s="93"/>
      <c r="AF88" s="360"/>
      <c r="AG88" s="93"/>
      <c r="AH88" s="360"/>
      <c r="AI88" s="93"/>
      <c r="AJ88" s="361"/>
      <c r="AK88" s="158"/>
      <c r="AL88" s="360"/>
      <c r="AM88" s="93"/>
      <c r="AN88" s="360"/>
      <c r="AO88" s="251"/>
      <c r="AP88" s="251"/>
      <c r="AQ88" s="93"/>
      <c r="AR88" s="360"/>
      <c r="AS88" s="93"/>
      <c r="AT88" s="360"/>
      <c r="AU88" s="93"/>
      <c r="AV88" s="361"/>
      <c r="AW88" s="251"/>
      <c r="AX88" s="251"/>
      <c r="AY88" s="158"/>
      <c r="BA88" s="34"/>
      <c r="BB88" s="26"/>
    </row>
    <row r="89" ht="18.0" customHeight="1" outlineLevel="1">
      <c r="A89" s="1"/>
      <c r="B89" s="26"/>
      <c r="C89" s="32"/>
      <c r="F89" s="33"/>
      <c r="G89" s="26"/>
      <c r="H89" s="30"/>
      <c r="I89" s="26"/>
      <c r="J89" s="32"/>
      <c r="R89" s="33"/>
      <c r="S89" s="26"/>
      <c r="T89" s="31"/>
      <c r="V89" s="67"/>
      <c r="W89" s="24" t="s">
        <v>161</v>
      </c>
      <c r="Z89" s="362"/>
      <c r="AA89" s="45"/>
      <c r="AB89" s="350">
        <v>0.0</v>
      </c>
      <c r="AC89" s="45"/>
      <c r="AD89" s="350">
        <v>0.0</v>
      </c>
      <c r="AE89" s="45"/>
      <c r="AF89" s="350">
        <v>0.0</v>
      </c>
      <c r="AG89" s="45"/>
      <c r="AH89" s="350">
        <v>0.0</v>
      </c>
      <c r="AI89" s="45"/>
      <c r="AJ89" s="352">
        <v>0.0</v>
      </c>
      <c r="AK89" s="47"/>
      <c r="AL89" s="350">
        <v>0.0</v>
      </c>
      <c r="AM89" s="45"/>
      <c r="AN89" s="350">
        <v>0.0</v>
      </c>
      <c r="AO89" s="44"/>
      <c r="AP89" s="44"/>
      <c r="AQ89" s="45"/>
      <c r="AR89" s="350">
        <v>0.0</v>
      </c>
      <c r="AS89" s="45"/>
      <c r="AT89" s="350">
        <v>0.0</v>
      </c>
      <c r="AU89" s="45"/>
      <c r="AV89" s="352">
        <v>0.0</v>
      </c>
      <c r="AW89" s="44"/>
      <c r="AX89" s="44"/>
      <c r="AY89" s="47"/>
      <c r="BA89" s="34"/>
      <c r="BB89" s="26"/>
    </row>
    <row r="90" ht="18.0" customHeight="1" outlineLevel="1">
      <c r="A90" s="1"/>
      <c r="B90" s="26"/>
      <c r="C90" s="32"/>
      <c r="F90" s="33"/>
      <c r="G90" s="26"/>
      <c r="H90" s="30"/>
      <c r="I90" s="26"/>
      <c r="J90" s="32"/>
      <c r="R90" s="33"/>
      <c r="S90" s="26"/>
      <c r="T90" s="31"/>
      <c r="V90" s="67"/>
      <c r="W90" s="69" t="s">
        <v>163</v>
      </c>
      <c r="Z90" s="253"/>
      <c r="AA90" s="45"/>
      <c r="AB90" s="350">
        <v>0.0</v>
      </c>
      <c r="AC90" s="45"/>
      <c r="AD90" s="350">
        <v>0.0</v>
      </c>
      <c r="AE90" s="45"/>
      <c r="AF90" s="350">
        <v>0.0</v>
      </c>
      <c r="AG90" s="45"/>
      <c r="AH90" s="350">
        <v>0.0</v>
      </c>
      <c r="AI90" s="45"/>
      <c r="AJ90" s="352">
        <v>0.0</v>
      </c>
      <c r="AK90" s="47"/>
      <c r="AL90" s="350">
        <v>0.0</v>
      </c>
      <c r="AM90" s="45"/>
      <c r="AN90" s="350">
        <v>0.0</v>
      </c>
      <c r="AO90" s="44"/>
      <c r="AP90" s="44"/>
      <c r="AQ90" s="45"/>
      <c r="AR90" s="350">
        <v>0.0</v>
      </c>
      <c r="AS90" s="45"/>
      <c r="AT90" s="350">
        <v>0.0</v>
      </c>
      <c r="AU90" s="45"/>
      <c r="AV90" s="352">
        <v>0.0</v>
      </c>
      <c r="AW90" s="44"/>
      <c r="AX90" s="44"/>
      <c r="AY90" s="47"/>
      <c r="BA90" s="34"/>
      <c r="BB90" s="26"/>
    </row>
    <row r="91" ht="18.0" customHeight="1" outlineLevel="1">
      <c r="A91" s="1"/>
      <c r="B91" s="26"/>
      <c r="C91" s="32"/>
      <c r="F91" s="33"/>
      <c r="G91" s="26"/>
      <c r="H91" s="30"/>
      <c r="I91" s="26"/>
      <c r="J91" s="32"/>
      <c r="R91" s="33"/>
      <c r="S91" s="26"/>
      <c r="T91" s="31"/>
      <c r="V91" s="369"/>
      <c r="W91" s="370" t="s">
        <v>166</v>
      </c>
      <c r="X91" s="96"/>
      <c r="Y91" s="96"/>
      <c r="Z91" s="371"/>
      <c r="AA91" s="368"/>
      <c r="AB91" s="372">
        <v>0.0</v>
      </c>
      <c r="AC91" s="368"/>
      <c r="AD91" s="372">
        <v>0.0</v>
      </c>
      <c r="AE91" s="368"/>
      <c r="AF91" s="372">
        <v>0.0</v>
      </c>
      <c r="AG91" s="368"/>
      <c r="AH91" s="372">
        <v>0.0</v>
      </c>
      <c r="AI91" s="368"/>
      <c r="AJ91" s="373">
        <v>0.0</v>
      </c>
      <c r="AK91" s="374"/>
      <c r="AL91" s="372">
        <v>0.0</v>
      </c>
      <c r="AM91" s="368"/>
      <c r="AN91" s="372">
        <v>0.0</v>
      </c>
      <c r="AO91" s="367"/>
      <c r="AP91" s="367"/>
      <c r="AQ91" s="368"/>
      <c r="AR91" s="372">
        <v>0.0</v>
      </c>
      <c r="AS91" s="368"/>
      <c r="AT91" s="372">
        <v>0.0</v>
      </c>
      <c r="AU91" s="368"/>
      <c r="AV91" s="373">
        <v>0.0</v>
      </c>
      <c r="AW91" s="367"/>
      <c r="AX91" s="367"/>
      <c r="AY91" s="374"/>
      <c r="BA91" s="34"/>
      <c r="BB91" s="26"/>
    </row>
    <row r="92" ht="21.75" customHeight="1">
      <c r="A92" s="1"/>
      <c r="B92" s="26"/>
      <c r="C92" s="32"/>
      <c r="F92" s="33"/>
      <c r="G92" s="26"/>
      <c r="H92" s="30"/>
      <c r="I92" s="26"/>
      <c r="J92" s="32"/>
      <c r="R92" s="33"/>
      <c r="S92" s="26"/>
      <c r="T92" s="31"/>
      <c r="V92" s="375"/>
      <c r="W92" s="376" t="s">
        <v>177</v>
      </c>
      <c r="X92" s="367"/>
      <c r="Y92" s="368"/>
      <c r="Z92" s="377"/>
      <c r="AA92" s="368"/>
      <c r="AB92" s="378">
        <f>SUM(AB78+AB82+AB86+AB90)</f>
        <v>0</v>
      </c>
      <c r="AC92" s="368"/>
      <c r="AD92" s="378">
        <f>SUM(AD78+AD82+AD86+AD90)</f>
        <v>0</v>
      </c>
      <c r="AE92" s="368"/>
      <c r="AF92" s="378">
        <f>SUM(AF78+AF82+AF86+AF90)</f>
        <v>0</v>
      </c>
      <c r="AG92" s="368"/>
      <c r="AH92" s="378">
        <f>SUM(AH78+AH82+AH86+AH90)</f>
        <v>0</v>
      </c>
      <c r="AI92" s="368"/>
      <c r="AJ92" s="379">
        <f>SUM(AJ78+AJ82+AJ86+AJ90)</f>
        <v>0</v>
      </c>
      <c r="AK92" s="374"/>
      <c r="AL92" s="378">
        <f>SUM(AL78+AL82+AL86+AL90)</f>
        <v>0</v>
      </c>
      <c r="AM92" s="368"/>
      <c r="AN92" s="378">
        <f>SUM(AN78+AN82+AN86+AN90)</f>
        <v>0</v>
      </c>
      <c r="AO92" s="367"/>
      <c r="AP92" s="367"/>
      <c r="AQ92" s="368"/>
      <c r="AR92" s="378">
        <f>SUM(AR78+AR82+AR86+AR90)</f>
        <v>0</v>
      </c>
      <c r="AS92" s="368"/>
      <c r="AT92" s="378">
        <f>SUM(AT78+AT82+AT86+AT90)</f>
        <v>0</v>
      </c>
      <c r="AU92" s="368"/>
      <c r="AV92" s="379">
        <f>SUM(AV78+AV82+AV86+AV90)</f>
        <v>0</v>
      </c>
      <c r="AW92" s="367"/>
      <c r="AX92" s="367"/>
      <c r="AY92" s="374"/>
      <c r="BA92" s="34"/>
      <c r="BB92" s="26"/>
    </row>
    <row r="93" ht="21.75" customHeight="1">
      <c r="A93" s="1"/>
      <c r="B93" s="26"/>
      <c r="C93" s="32"/>
      <c r="F93" s="33"/>
      <c r="G93" s="26"/>
      <c r="H93" s="30"/>
      <c r="I93" s="26"/>
      <c r="J93" s="32"/>
      <c r="R93" s="33"/>
      <c r="S93" s="26"/>
      <c r="T93" s="31"/>
      <c r="V93" s="380"/>
      <c r="W93" s="381" t="s">
        <v>178</v>
      </c>
      <c r="X93" s="367"/>
      <c r="Y93" s="368"/>
      <c r="Z93" s="382"/>
      <c r="AA93" s="368"/>
      <c r="AB93" s="383">
        <f>(AB79+AB83+AB87+AB91)*52</f>
        <v>0</v>
      </c>
      <c r="AC93" s="368"/>
      <c r="AD93" s="383">
        <f>(AD79+AD83+AD87+AD91)*52</f>
        <v>0</v>
      </c>
      <c r="AE93" s="368"/>
      <c r="AF93" s="383">
        <f>(AF79+AF83+AF87+AF91)*52</f>
        <v>0</v>
      </c>
      <c r="AG93" s="368"/>
      <c r="AH93" s="383">
        <f>(AH79+AH83+AH87+AH91)*52</f>
        <v>0</v>
      </c>
      <c r="AI93" s="368"/>
      <c r="AJ93" s="384">
        <f>(AJ79+AJ83+AJ87+AJ91)*52</f>
        <v>0</v>
      </c>
      <c r="AK93" s="374"/>
      <c r="AL93" s="383">
        <f>(AL79+AL83+AL87+AL91)*52</f>
        <v>0</v>
      </c>
      <c r="AM93" s="368"/>
      <c r="AN93" s="383">
        <f>(AN79+AN83+AN87+AN91)*52</f>
        <v>0</v>
      </c>
      <c r="AO93" s="367"/>
      <c r="AP93" s="367"/>
      <c r="AQ93" s="368"/>
      <c r="AR93" s="383">
        <f>(AR79+AR83+AR87+AR91)*52</f>
        <v>0</v>
      </c>
      <c r="AS93" s="368"/>
      <c r="AT93" s="383">
        <f>(AT79+AT83+AT87+AT91)*52</f>
        <v>0</v>
      </c>
      <c r="AU93" s="368"/>
      <c r="AV93" s="384">
        <f>(AV79+AV83+AV87+AV91)*52</f>
        <v>0</v>
      </c>
      <c r="AW93" s="367"/>
      <c r="AX93" s="367"/>
      <c r="AY93" s="374"/>
      <c r="BA93" s="34"/>
      <c r="BB93" s="26"/>
    </row>
    <row r="94" ht="14.25" customHeight="1">
      <c r="A94" s="1"/>
      <c r="B94" s="385"/>
      <c r="C94" s="36"/>
      <c r="D94" s="28"/>
      <c r="E94" s="28"/>
      <c r="F94" s="37"/>
      <c r="G94" s="385"/>
      <c r="H94" s="386"/>
      <c r="I94" s="385"/>
      <c r="J94" s="36"/>
      <c r="K94" s="28"/>
      <c r="L94" s="28"/>
      <c r="M94" s="28"/>
      <c r="N94" s="28"/>
      <c r="O94" s="28"/>
      <c r="P94" s="28"/>
      <c r="Q94" s="28"/>
      <c r="R94" s="37"/>
      <c r="S94" s="385"/>
      <c r="T94" s="317"/>
      <c r="U94" s="96"/>
      <c r="V94" s="95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319"/>
      <c r="BB94" s="26"/>
    </row>
    <row r="95" ht="27.0" customHeight="1">
      <c r="A95" s="1"/>
      <c r="B95" s="39"/>
      <c r="C95" s="387"/>
      <c r="D95" s="44"/>
      <c r="E95" s="44"/>
      <c r="F95" s="45"/>
      <c r="G95" s="10"/>
      <c r="H95" s="5"/>
      <c r="I95" s="388"/>
      <c r="J95" s="44"/>
      <c r="K95" s="44"/>
      <c r="L95" s="44"/>
      <c r="M95" s="44"/>
      <c r="N95" s="44"/>
      <c r="O95" s="44"/>
      <c r="P95" s="44"/>
      <c r="Q95" s="44"/>
      <c r="R95" s="44"/>
      <c r="S95" s="45"/>
      <c r="T95" s="388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5"/>
      <c r="BB95" s="385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0">
    <mergeCell ref="AR68:AS68"/>
    <mergeCell ref="AT68:AU68"/>
    <mergeCell ref="AD67:AE67"/>
    <mergeCell ref="AD69:AE69"/>
    <mergeCell ref="AF69:AG69"/>
    <mergeCell ref="AH69:AI69"/>
    <mergeCell ref="AJ69:AK69"/>
    <mergeCell ref="AL69:AM69"/>
    <mergeCell ref="AN69:AQ69"/>
    <mergeCell ref="AR69:AS69"/>
    <mergeCell ref="AT69:AU69"/>
    <mergeCell ref="AV69:AY69"/>
    <mergeCell ref="V70:AY70"/>
    <mergeCell ref="T71:BA71"/>
    <mergeCell ref="AB91:AC91"/>
    <mergeCell ref="AD91:AE91"/>
    <mergeCell ref="AF91:AG91"/>
    <mergeCell ref="AH91:AI91"/>
    <mergeCell ref="AJ91:AK91"/>
    <mergeCell ref="AL91:AM91"/>
    <mergeCell ref="AN91:AQ91"/>
    <mergeCell ref="AR91:AS91"/>
    <mergeCell ref="AT91:AU91"/>
    <mergeCell ref="AV91:AY91"/>
    <mergeCell ref="W92:Y92"/>
    <mergeCell ref="Z92:AA92"/>
    <mergeCell ref="AB92:AC92"/>
    <mergeCell ref="AD92:AE92"/>
    <mergeCell ref="AV66:AY66"/>
    <mergeCell ref="J67:R71"/>
    <mergeCell ref="AF67:AG67"/>
    <mergeCell ref="AH67:AI67"/>
    <mergeCell ref="AJ67:AK67"/>
    <mergeCell ref="AL67:AM67"/>
    <mergeCell ref="AV68:AY68"/>
    <mergeCell ref="AJ93:AK93"/>
    <mergeCell ref="AL93:AM93"/>
    <mergeCell ref="AN93:AQ93"/>
    <mergeCell ref="AR93:AS93"/>
    <mergeCell ref="AT93:AU93"/>
    <mergeCell ref="AV93:AY93"/>
    <mergeCell ref="J1:R1"/>
    <mergeCell ref="T1:BA1"/>
    <mergeCell ref="G2:G94"/>
    <mergeCell ref="V2:AY4"/>
    <mergeCell ref="V6:AY6"/>
    <mergeCell ref="V7:AY7"/>
    <mergeCell ref="F10:F39"/>
    <mergeCell ref="V94:AY94"/>
    <mergeCell ref="AF92:AG92"/>
    <mergeCell ref="AH92:AI92"/>
    <mergeCell ref="AJ92:AK92"/>
    <mergeCell ref="AL92:AM92"/>
    <mergeCell ref="AN92:AQ92"/>
    <mergeCell ref="AR92:AS92"/>
    <mergeCell ref="AT92:AU92"/>
    <mergeCell ref="AV92:AY92"/>
    <mergeCell ref="W93:Y93"/>
    <mergeCell ref="Z93:AA93"/>
    <mergeCell ref="AB93:AC93"/>
    <mergeCell ref="AD93:AE93"/>
    <mergeCell ref="AF93:AG93"/>
    <mergeCell ref="AH93:AI93"/>
    <mergeCell ref="O62:O63"/>
    <mergeCell ref="P62:P63"/>
    <mergeCell ref="W63:Y63"/>
    <mergeCell ref="Z63:AA63"/>
    <mergeCell ref="AB63:AC63"/>
    <mergeCell ref="AD63:AE63"/>
    <mergeCell ref="L51:P51"/>
    <mergeCell ref="N52:N63"/>
    <mergeCell ref="W61:Y61"/>
    <mergeCell ref="Z61:AA61"/>
    <mergeCell ref="AB61:AC61"/>
    <mergeCell ref="AD61:AE61"/>
    <mergeCell ref="AF61:AG61"/>
    <mergeCell ref="AF63:AG63"/>
    <mergeCell ref="AJ85:AK85"/>
    <mergeCell ref="AL85:AM85"/>
    <mergeCell ref="AJ84:AK84"/>
    <mergeCell ref="AL84:AM84"/>
    <mergeCell ref="K85:P85"/>
    <mergeCell ref="W85:Y85"/>
    <mergeCell ref="Z85:AA85"/>
    <mergeCell ref="AB85:AC85"/>
    <mergeCell ref="AD85:AE85"/>
    <mergeCell ref="AD86:AE86"/>
    <mergeCell ref="AF86:AG86"/>
    <mergeCell ref="AH86:AI86"/>
    <mergeCell ref="AJ86:AK86"/>
    <mergeCell ref="AL86:AM86"/>
    <mergeCell ref="AN86:AQ86"/>
    <mergeCell ref="AR86:AS86"/>
    <mergeCell ref="AT86:AU86"/>
    <mergeCell ref="AF85:AG85"/>
    <mergeCell ref="AH85:AI85"/>
    <mergeCell ref="AN85:AQ85"/>
    <mergeCell ref="AR85:AS85"/>
    <mergeCell ref="AT85:AU85"/>
    <mergeCell ref="AV85:AY85"/>
    <mergeCell ref="W86:Y86"/>
    <mergeCell ref="AV86:AY86"/>
    <mergeCell ref="W88:Y88"/>
    <mergeCell ref="Z88:AA88"/>
    <mergeCell ref="AB88:AC88"/>
    <mergeCell ref="AD88:AE88"/>
    <mergeCell ref="AF88:AG88"/>
    <mergeCell ref="Z86:AA86"/>
    <mergeCell ref="AB86:AC86"/>
    <mergeCell ref="W87:Y87"/>
    <mergeCell ref="Z87:AA87"/>
    <mergeCell ref="AB87:AC87"/>
    <mergeCell ref="AD87:AE87"/>
    <mergeCell ref="AF87:AG87"/>
    <mergeCell ref="AH87:AI87"/>
    <mergeCell ref="AJ87:AK87"/>
    <mergeCell ref="AL87:AM87"/>
    <mergeCell ref="AN87:AQ87"/>
    <mergeCell ref="AR87:AS87"/>
    <mergeCell ref="AT87:AU87"/>
    <mergeCell ref="AV87:AY87"/>
    <mergeCell ref="AH88:AI88"/>
    <mergeCell ref="AJ88:AK88"/>
    <mergeCell ref="AL88:AM88"/>
    <mergeCell ref="AN88:AQ88"/>
    <mergeCell ref="AR88:AS88"/>
    <mergeCell ref="AT88:AU88"/>
    <mergeCell ref="AV88:AY88"/>
    <mergeCell ref="AL89:AM89"/>
    <mergeCell ref="AN89:AQ89"/>
    <mergeCell ref="AR89:AS89"/>
    <mergeCell ref="AT89:AU89"/>
    <mergeCell ref="AV89:AY89"/>
    <mergeCell ref="W89:Y89"/>
    <mergeCell ref="Z89:AA89"/>
    <mergeCell ref="AB89:AC89"/>
    <mergeCell ref="AD89:AE89"/>
    <mergeCell ref="AF89:AG89"/>
    <mergeCell ref="AH89:AI89"/>
    <mergeCell ref="AJ89:AK89"/>
    <mergeCell ref="AL90:AM90"/>
    <mergeCell ref="AN90:AQ90"/>
    <mergeCell ref="AR90:AS90"/>
    <mergeCell ref="AT90:AU90"/>
    <mergeCell ref="AV90:AY90"/>
    <mergeCell ref="W90:Y90"/>
    <mergeCell ref="Z90:AA90"/>
    <mergeCell ref="AB90:AC90"/>
    <mergeCell ref="AD90:AE90"/>
    <mergeCell ref="AF90:AG90"/>
    <mergeCell ref="AH90:AI90"/>
    <mergeCell ref="AJ90:AK90"/>
    <mergeCell ref="V36:AB36"/>
    <mergeCell ref="V37:X37"/>
    <mergeCell ref="V21:Y21"/>
    <mergeCell ref="V22:Y22"/>
    <mergeCell ref="AA22:AB22"/>
    <mergeCell ref="AA32:AB33"/>
    <mergeCell ref="AE32:AN40"/>
    <mergeCell ref="AP32:AY40"/>
    <mergeCell ref="L33:P33"/>
    <mergeCell ref="Z41:AA41"/>
    <mergeCell ref="AE41:AI41"/>
    <mergeCell ref="Z42:AA42"/>
    <mergeCell ref="AK42:AL42"/>
    <mergeCell ref="V38:X38"/>
    <mergeCell ref="V43:X43"/>
    <mergeCell ref="AM42:AN42"/>
    <mergeCell ref="AK43:AL43"/>
    <mergeCell ref="AM43:AN43"/>
    <mergeCell ref="Z43:AA43"/>
    <mergeCell ref="Z44:AA44"/>
    <mergeCell ref="AK44:AL44"/>
    <mergeCell ref="AM44:AN44"/>
    <mergeCell ref="AO31:AO44"/>
    <mergeCell ref="V32:Z33"/>
    <mergeCell ref="Z37:AA37"/>
    <mergeCell ref="Z38:AA38"/>
    <mergeCell ref="V39:AB39"/>
    <mergeCell ref="Z40:AA40"/>
    <mergeCell ref="V44:X44"/>
    <mergeCell ref="L42:P42"/>
    <mergeCell ref="V42:X42"/>
    <mergeCell ref="AP42:AQ42"/>
    <mergeCell ref="AP43:AQ43"/>
    <mergeCell ref="V34:AB34"/>
    <mergeCell ref="V35:AB35"/>
    <mergeCell ref="D39:E39"/>
    <mergeCell ref="C40:F41"/>
    <mergeCell ref="AJ41:AJ44"/>
    <mergeCell ref="AK41:AN41"/>
    <mergeCell ref="AU41:AU44"/>
    <mergeCell ref="AP44:AQ44"/>
    <mergeCell ref="AT46:AU46"/>
    <mergeCell ref="AV46:AY46"/>
    <mergeCell ref="AH48:AI48"/>
    <mergeCell ref="AJ48:AK48"/>
    <mergeCell ref="AL48:AM48"/>
    <mergeCell ref="AN48:AQ48"/>
    <mergeCell ref="AR48:AS48"/>
    <mergeCell ref="AT48:AU48"/>
    <mergeCell ref="AX44:AY44"/>
    <mergeCell ref="V45:AY45"/>
    <mergeCell ref="L46:P48"/>
    <mergeCell ref="V46:Y46"/>
    <mergeCell ref="Z46:AA46"/>
    <mergeCell ref="AB46:AC46"/>
    <mergeCell ref="AD46:AE46"/>
    <mergeCell ref="AV48:AY48"/>
    <mergeCell ref="AF46:AG46"/>
    <mergeCell ref="AH46:AI46"/>
    <mergeCell ref="AJ46:AK46"/>
    <mergeCell ref="AL46:AM46"/>
    <mergeCell ref="AN46:AQ46"/>
    <mergeCell ref="AR46:AS46"/>
    <mergeCell ref="W47:Y47"/>
    <mergeCell ref="Z47:AA47"/>
    <mergeCell ref="AB47:AC47"/>
    <mergeCell ref="AD47:AE47"/>
    <mergeCell ref="AF47:AG47"/>
    <mergeCell ref="AH47:AI47"/>
    <mergeCell ref="AJ47:AK47"/>
    <mergeCell ref="AL47:AM47"/>
    <mergeCell ref="AD48:AE48"/>
    <mergeCell ref="AF48:AG48"/>
    <mergeCell ref="AN47:AQ47"/>
    <mergeCell ref="AR47:AS47"/>
    <mergeCell ref="AT47:AU47"/>
    <mergeCell ref="AV47:AY47"/>
    <mergeCell ref="W48:Y48"/>
    <mergeCell ref="Z48:AA48"/>
    <mergeCell ref="AB48:AC48"/>
    <mergeCell ref="AJ49:AK49"/>
    <mergeCell ref="AL49:AM49"/>
    <mergeCell ref="L49:P50"/>
    <mergeCell ref="W49:Y49"/>
    <mergeCell ref="Z49:AA49"/>
    <mergeCell ref="AB49:AC49"/>
    <mergeCell ref="AD49:AE49"/>
    <mergeCell ref="AF49:AG49"/>
    <mergeCell ref="AH49:AI49"/>
    <mergeCell ref="AH52:AI52"/>
    <mergeCell ref="AJ52:AK52"/>
    <mergeCell ref="AL52:AM52"/>
    <mergeCell ref="AN52:AQ52"/>
    <mergeCell ref="AR52:AS52"/>
    <mergeCell ref="AT52:AU52"/>
    <mergeCell ref="AV52:AY52"/>
    <mergeCell ref="AJ53:AK53"/>
    <mergeCell ref="AL53:AM53"/>
    <mergeCell ref="AN53:AQ53"/>
    <mergeCell ref="AR53:AS53"/>
    <mergeCell ref="AT53:AU53"/>
    <mergeCell ref="AV53:AY53"/>
    <mergeCell ref="AF52:AG52"/>
    <mergeCell ref="W53:Y53"/>
    <mergeCell ref="Z53:AA53"/>
    <mergeCell ref="AB53:AC53"/>
    <mergeCell ref="AD53:AE53"/>
    <mergeCell ref="AF53:AG53"/>
    <mergeCell ref="AH53:AI53"/>
    <mergeCell ref="AL54:AM54"/>
    <mergeCell ref="AN54:AQ54"/>
    <mergeCell ref="W54:Y54"/>
    <mergeCell ref="Z54:AA54"/>
    <mergeCell ref="AB54:AC54"/>
    <mergeCell ref="AD54:AE54"/>
    <mergeCell ref="AF54:AG54"/>
    <mergeCell ref="AH54:AI54"/>
    <mergeCell ref="AJ54:AK54"/>
    <mergeCell ref="AF55:AG55"/>
    <mergeCell ref="AH55:AI55"/>
    <mergeCell ref="AJ55:AK55"/>
    <mergeCell ref="AL55:AM55"/>
    <mergeCell ref="AN55:AQ55"/>
    <mergeCell ref="AR55:AS55"/>
    <mergeCell ref="AT55:AU55"/>
    <mergeCell ref="AV55:AY55"/>
    <mergeCell ref="AR54:AS54"/>
    <mergeCell ref="AT54:AU54"/>
    <mergeCell ref="AV54:AY54"/>
    <mergeCell ref="W55:Y55"/>
    <mergeCell ref="Z55:AA55"/>
    <mergeCell ref="AB55:AC55"/>
    <mergeCell ref="AD55:AE55"/>
    <mergeCell ref="AL56:AM56"/>
    <mergeCell ref="AN56:AQ56"/>
    <mergeCell ref="W56:Y56"/>
    <mergeCell ref="Z56:AA56"/>
    <mergeCell ref="AB56:AC56"/>
    <mergeCell ref="AD56:AE56"/>
    <mergeCell ref="AF56:AG56"/>
    <mergeCell ref="AH56:AI56"/>
    <mergeCell ref="AJ56:AK56"/>
    <mergeCell ref="AF57:AG57"/>
    <mergeCell ref="AH57:AI57"/>
    <mergeCell ref="AJ57:AK57"/>
    <mergeCell ref="AL57:AM57"/>
    <mergeCell ref="AN57:AQ57"/>
    <mergeCell ref="AR57:AS57"/>
    <mergeCell ref="AT57:AU57"/>
    <mergeCell ref="AV57:AY57"/>
    <mergeCell ref="AR56:AS56"/>
    <mergeCell ref="AT56:AU56"/>
    <mergeCell ref="AV56:AY56"/>
    <mergeCell ref="W57:Y57"/>
    <mergeCell ref="Z57:AA57"/>
    <mergeCell ref="AB57:AC57"/>
    <mergeCell ref="AD57:AE57"/>
    <mergeCell ref="AL58:AM58"/>
    <mergeCell ref="AN58:AQ58"/>
    <mergeCell ref="W58:Y58"/>
    <mergeCell ref="Z58:AA58"/>
    <mergeCell ref="AB58:AC58"/>
    <mergeCell ref="AD58:AE58"/>
    <mergeCell ref="AF58:AG58"/>
    <mergeCell ref="AH58:AI58"/>
    <mergeCell ref="AJ58:AK58"/>
    <mergeCell ref="AF59:AG59"/>
    <mergeCell ref="AH59:AI59"/>
    <mergeCell ref="AR58:AS58"/>
    <mergeCell ref="AT58:AU58"/>
    <mergeCell ref="AV58:AY58"/>
    <mergeCell ref="W59:Y59"/>
    <mergeCell ref="Z59:AA59"/>
    <mergeCell ref="AB59:AC59"/>
    <mergeCell ref="AD59:AE59"/>
    <mergeCell ref="AJ60:AK60"/>
    <mergeCell ref="AL60:AM60"/>
    <mergeCell ref="AJ59:AK59"/>
    <mergeCell ref="W60:Y60"/>
    <mergeCell ref="Z60:AA60"/>
    <mergeCell ref="AB60:AC60"/>
    <mergeCell ref="AD60:AE60"/>
    <mergeCell ref="AF60:AG60"/>
    <mergeCell ref="AH60:AI60"/>
    <mergeCell ref="AH50:AI50"/>
    <mergeCell ref="AJ50:AK50"/>
    <mergeCell ref="AL50:AM50"/>
    <mergeCell ref="AN50:AQ50"/>
    <mergeCell ref="AN60:AQ60"/>
    <mergeCell ref="AR60:AS60"/>
    <mergeCell ref="AT60:AU60"/>
    <mergeCell ref="AV60:AY60"/>
    <mergeCell ref="AR50:AS50"/>
    <mergeCell ref="AT50:AU50"/>
    <mergeCell ref="AR51:AS51"/>
    <mergeCell ref="AT51:AU51"/>
    <mergeCell ref="AV50:AY50"/>
    <mergeCell ref="AD51:AE51"/>
    <mergeCell ref="AF51:AG51"/>
    <mergeCell ref="AH51:AI51"/>
    <mergeCell ref="AJ51:AK51"/>
    <mergeCell ref="AL51:AM51"/>
    <mergeCell ref="AN51:AQ51"/>
    <mergeCell ref="AV51:AY51"/>
    <mergeCell ref="AD52:AE52"/>
    <mergeCell ref="AH61:AI61"/>
    <mergeCell ref="AJ61:AK61"/>
    <mergeCell ref="AL61:AM61"/>
    <mergeCell ref="AN61:AQ61"/>
    <mergeCell ref="AR61:AS61"/>
    <mergeCell ref="AT61:AU61"/>
    <mergeCell ref="AV61:AY61"/>
    <mergeCell ref="AL62:AM62"/>
    <mergeCell ref="AN62:AQ62"/>
    <mergeCell ref="W62:Y62"/>
    <mergeCell ref="Z62:AA62"/>
    <mergeCell ref="AB62:AC62"/>
    <mergeCell ref="AD62:AE62"/>
    <mergeCell ref="AF62:AG62"/>
    <mergeCell ref="AH62:AI62"/>
    <mergeCell ref="AJ62:AK62"/>
    <mergeCell ref="AR63:AS63"/>
    <mergeCell ref="AT63:AU63"/>
    <mergeCell ref="AR62:AS62"/>
    <mergeCell ref="AT62:AU62"/>
    <mergeCell ref="AV62:AY62"/>
    <mergeCell ref="AH63:AI63"/>
    <mergeCell ref="AJ63:AK63"/>
    <mergeCell ref="AL63:AM63"/>
    <mergeCell ref="AN63:AQ63"/>
    <mergeCell ref="AV63:AY63"/>
    <mergeCell ref="AL64:AM64"/>
    <mergeCell ref="AN64:AQ64"/>
    <mergeCell ref="W64:Y64"/>
    <mergeCell ref="Z64:AA64"/>
    <mergeCell ref="AB64:AC64"/>
    <mergeCell ref="AD64:AE64"/>
    <mergeCell ref="AF64:AG64"/>
    <mergeCell ref="AH64:AI64"/>
    <mergeCell ref="AJ64:AK64"/>
    <mergeCell ref="AF65:AG65"/>
    <mergeCell ref="AH65:AI65"/>
    <mergeCell ref="AJ65:AK65"/>
    <mergeCell ref="AL65:AM65"/>
    <mergeCell ref="AN65:AQ65"/>
    <mergeCell ref="AR65:AS65"/>
    <mergeCell ref="AT65:AU65"/>
    <mergeCell ref="AV65:AY65"/>
    <mergeCell ref="AR64:AS64"/>
    <mergeCell ref="AT64:AU64"/>
    <mergeCell ref="AV64:AY64"/>
    <mergeCell ref="W65:Y65"/>
    <mergeCell ref="Z65:AA65"/>
    <mergeCell ref="AB65:AC65"/>
    <mergeCell ref="AD65:AE65"/>
    <mergeCell ref="AL66:AM66"/>
    <mergeCell ref="AN66:AQ66"/>
    <mergeCell ref="W66:Y66"/>
    <mergeCell ref="Z66:AA66"/>
    <mergeCell ref="AB66:AC66"/>
    <mergeCell ref="AD66:AE66"/>
    <mergeCell ref="AF66:AG66"/>
    <mergeCell ref="AH66:AI66"/>
    <mergeCell ref="AJ66:AK66"/>
    <mergeCell ref="Y14:Z14"/>
    <mergeCell ref="AA14:AB14"/>
    <mergeCell ref="AV14:AW14"/>
    <mergeCell ref="AX14:AY14"/>
    <mergeCell ref="V15:X15"/>
    <mergeCell ref="Y15:Z15"/>
    <mergeCell ref="AA15:AB15"/>
    <mergeCell ref="AV15:AW15"/>
    <mergeCell ref="AX15:AY15"/>
    <mergeCell ref="V16:Z16"/>
    <mergeCell ref="AA16:AB16"/>
    <mergeCell ref="AV16:AW16"/>
    <mergeCell ref="AX16:AY16"/>
    <mergeCell ref="V17:Z17"/>
    <mergeCell ref="AA17:AB17"/>
    <mergeCell ref="AV17:AY18"/>
    <mergeCell ref="V18:AB18"/>
    <mergeCell ref="AX21:AY21"/>
    <mergeCell ref="AV22:AY23"/>
    <mergeCell ref="AU8:AW8"/>
    <mergeCell ref="AX8:AY8"/>
    <mergeCell ref="AV19:AW19"/>
    <mergeCell ref="AX19:AY19"/>
    <mergeCell ref="AV20:AW20"/>
    <mergeCell ref="AX20:AY20"/>
    <mergeCell ref="AV21:AW21"/>
    <mergeCell ref="L14:N14"/>
    <mergeCell ref="L23:P23"/>
    <mergeCell ref="C4:F5"/>
    <mergeCell ref="C6:F6"/>
    <mergeCell ref="AE10:AY10"/>
    <mergeCell ref="L11:N11"/>
    <mergeCell ref="AE11:AY11"/>
    <mergeCell ref="AE12:AU29"/>
    <mergeCell ref="AV12:AY13"/>
    <mergeCell ref="V13:Z13"/>
    <mergeCell ref="V14:X14"/>
    <mergeCell ref="W51:Y51"/>
    <mergeCell ref="Z51:AA51"/>
    <mergeCell ref="AB51:AC51"/>
    <mergeCell ref="W52:Y52"/>
    <mergeCell ref="Z52:AA52"/>
    <mergeCell ref="AB52:AC52"/>
    <mergeCell ref="W67:Y67"/>
    <mergeCell ref="Z67:AA67"/>
    <mergeCell ref="AB67:AC67"/>
    <mergeCell ref="W68:Y68"/>
    <mergeCell ref="Z68:AA68"/>
    <mergeCell ref="AB68:AC68"/>
    <mergeCell ref="W69:Y69"/>
    <mergeCell ref="Z69:AA69"/>
    <mergeCell ref="T2:T70"/>
    <mergeCell ref="U2:U70"/>
    <mergeCell ref="AC10:AC44"/>
    <mergeCell ref="AD10:AD44"/>
    <mergeCell ref="V11:Z12"/>
    <mergeCell ref="AA11:AB12"/>
    <mergeCell ref="AA13:AB13"/>
    <mergeCell ref="AB69:AC69"/>
    <mergeCell ref="V23:Y23"/>
    <mergeCell ref="AA23:AB23"/>
    <mergeCell ref="V24:Y24"/>
    <mergeCell ref="AA24:AB24"/>
    <mergeCell ref="V25:Y25"/>
    <mergeCell ref="AA25:AB25"/>
    <mergeCell ref="V26:Z26"/>
    <mergeCell ref="AA26:AB26"/>
    <mergeCell ref="V27:Z27"/>
    <mergeCell ref="AA27:AB27"/>
    <mergeCell ref="V28:Z28"/>
    <mergeCell ref="AA28:AB28"/>
    <mergeCell ref="V29:Z29"/>
    <mergeCell ref="AA29:AB29"/>
    <mergeCell ref="AD50:AE50"/>
    <mergeCell ref="AF50:AG50"/>
    <mergeCell ref="AV24:AW24"/>
    <mergeCell ref="AX24:AY24"/>
    <mergeCell ref="AN49:AQ49"/>
    <mergeCell ref="AR49:AS49"/>
    <mergeCell ref="AT49:AU49"/>
    <mergeCell ref="AV49:AY49"/>
    <mergeCell ref="W50:Y50"/>
    <mergeCell ref="L2:P4"/>
    <mergeCell ref="Q2:Q66"/>
    <mergeCell ref="L6:P6"/>
    <mergeCell ref="L7:P7"/>
    <mergeCell ref="L9:P9"/>
    <mergeCell ref="L15:N15"/>
    <mergeCell ref="L16:P17"/>
    <mergeCell ref="AR66:AS66"/>
    <mergeCell ref="AT66:AU66"/>
    <mergeCell ref="AN67:AQ67"/>
    <mergeCell ref="AR67:AS67"/>
    <mergeCell ref="AT67:AU67"/>
    <mergeCell ref="AV67:AY67"/>
    <mergeCell ref="AD68:AE68"/>
    <mergeCell ref="AF68:AG68"/>
    <mergeCell ref="AH68:AI68"/>
    <mergeCell ref="AJ68:AK68"/>
    <mergeCell ref="AL68:AM68"/>
    <mergeCell ref="AN68:AQ68"/>
    <mergeCell ref="V75:Y75"/>
    <mergeCell ref="W77:Y77"/>
    <mergeCell ref="AF78:AG78"/>
    <mergeCell ref="W79:Y79"/>
    <mergeCell ref="Z79:AA79"/>
    <mergeCell ref="AB79:AC79"/>
    <mergeCell ref="AD79:AE79"/>
    <mergeCell ref="AF79:AG79"/>
    <mergeCell ref="W80:Y80"/>
    <mergeCell ref="Z80:AA80"/>
    <mergeCell ref="AB80:AC80"/>
    <mergeCell ref="AD80:AE80"/>
    <mergeCell ref="AF80:AG80"/>
    <mergeCell ref="W81:Y81"/>
    <mergeCell ref="Z81:AA81"/>
    <mergeCell ref="AB81:AC81"/>
    <mergeCell ref="AD81:AE81"/>
    <mergeCell ref="AF81:AG81"/>
    <mergeCell ref="W82:Y82"/>
    <mergeCell ref="Z82:AA82"/>
    <mergeCell ref="AB82:AC82"/>
    <mergeCell ref="AD82:AE82"/>
    <mergeCell ref="W76:Y76"/>
    <mergeCell ref="Z76:AA76"/>
    <mergeCell ref="AB76:AC76"/>
    <mergeCell ref="AD76:AE76"/>
    <mergeCell ref="AH76:AI76"/>
    <mergeCell ref="AJ76:AK76"/>
    <mergeCell ref="Z77:AA77"/>
    <mergeCell ref="AB77:AC77"/>
    <mergeCell ref="AD77:AE77"/>
    <mergeCell ref="AF77:AG77"/>
    <mergeCell ref="AH77:AI77"/>
    <mergeCell ref="AJ77:AK77"/>
    <mergeCell ref="AL77:AM77"/>
    <mergeCell ref="W78:Y78"/>
    <mergeCell ref="Z78:AA78"/>
    <mergeCell ref="AN79:AQ79"/>
    <mergeCell ref="AR79:AS79"/>
    <mergeCell ref="AT79:AU79"/>
    <mergeCell ref="AV79:AY79"/>
    <mergeCell ref="AN80:AQ80"/>
    <mergeCell ref="AR80:AS80"/>
    <mergeCell ref="AT80:AU80"/>
    <mergeCell ref="AV80:AY80"/>
    <mergeCell ref="AH80:AI80"/>
    <mergeCell ref="AH81:AI81"/>
    <mergeCell ref="AJ81:AK81"/>
    <mergeCell ref="AL81:AM81"/>
    <mergeCell ref="AR81:AS81"/>
    <mergeCell ref="AT81:AU81"/>
    <mergeCell ref="AV81:AY81"/>
    <mergeCell ref="AV25:AW25"/>
    <mergeCell ref="AX25:AY25"/>
    <mergeCell ref="AV26:AW26"/>
    <mergeCell ref="AX26:AY26"/>
    <mergeCell ref="AV27:AY27"/>
    <mergeCell ref="AV28:AY29"/>
    <mergeCell ref="L18:P19"/>
    <mergeCell ref="L30:P30"/>
    <mergeCell ref="V30:Z30"/>
    <mergeCell ref="AA30:AB30"/>
    <mergeCell ref="AE30:AY30"/>
    <mergeCell ref="V31:Z31"/>
    <mergeCell ref="AA31:AB31"/>
    <mergeCell ref="AE31:AN31"/>
    <mergeCell ref="AP31:AY31"/>
    <mergeCell ref="V40:X40"/>
    <mergeCell ref="V41:X41"/>
    <mergeCell ref="B2:B94"/>
    <mergeCell ref="C10:C39"/>
    <mergeCell ref="B1:G1"/>
    <mergeCell ref="C8:F8"/>
    <mergeCell ref="L58:M59"/>
    <mergeCell ref="J72:R74"/>
    <mergeCell ref="J75:J85"/>
    <mergeCell ref="Q75:R85"/>
    <mergeCell ref="K76:K84"/>
    <mergeCell ref="N77:P84"/>
    <mergeCell ref="AE8:AF8"/>
    <mergeCell ref="AG8:AT8"/>
    <mergeCell ref="C9:F9"/>
    <mergeCell ref="V9:AC9"/>
    <mergeCell ref="AD9:AY9"/>
    <mergeCell ref="V10:AB10"/>
    <mergeCell ref="V8:X8"/>
    <mergeCell ref="Y8:AC8"/>
    <mergeCell ref="V19:AB19"/>
    <mergeCell ref="L20:P20"/>
    <mergeCell ref="V20:Y20"/>
    <mergeCell ref="AA20:AB20"/>
    <mergeCell ref="AA21:AB21"/>
    <mergeCell ref="AP41:AT41"/>
    <mergeCell ref="AV41:AY41"/>
    <mergeCell ref="AV42:AW42"/>
    <mergeCell ref="AX42:AY42"/>
    <mergeCell ref="AV43:AW43"/>
    <mergeCell ref="AX43:AY43"/>
    <mergeCell ref="AV44:AW44"/>
    <mergeCell ref="K75:P75"/>
    <mergeCell ref="N76:P76"/>
    <mergeCell ref="AR76:AS76"/>
    <mergeCell ref="AT76:AU76"/>
    <mergeCell ref="AN77:AQ77"/>
    <mergeCell ref="AR77:AS77"/>
    <mergeCell ref="AT77:AU77"/>
    <mergeCell ref="AV77:AY77"/>
    <mergeCell ref="AL75:AM75"/>
    <mergeCell ref="AN75:AQ75"/>
    <mergeCell ref="AR75:AS75"/>
    <mergeCell ref="AT75:AU75"/>
    <mergeCell ref="AV75:AY75"/>
    <mergeCell ref="AL76:AM76"/>
    <mergeCell ref="AN76:AQ76"/>
    <mergeCell ref="AV76:AY76"/>
    <mergeCell ref="AT78:AU78"/>
    <mergeCell ref="AV78:AY78"/>
    <mergeCell ref="AB78:AC78"/>
    <mergeCell ref="AD78:AE78"/>
    <mergeCell ref="AH78:AI78"/>
    <mergeCell ref="AJ78:AK78"/>
    <mergeCell ref="AL78:AM78"/>
    <mergeCell ref="AN78:AQ78"/>
    <mergeCell ref="AR78:AS78"/>
    <mergeCell ref="AH82:AI82"/>
    <mergeCell ref="AJ82:AK82"/>
    <mergeCell ref="AL82:AM82"/>
    <mergeCell ref="AH83:AI83"/>
    <mergeCell ref="AJ83:AK83"/>
    <mergeCell ref="AL83:AM83"/>
    <mergeCell ref="AH75:AI75"/>
    <mergeCell ref="AJ75:AK75"/>
    <mergeCell ref="AH79:AI79"/>
    <mergeCell ref="AJ79:AK79"/>
    <mergeCell ref="AL79:AM79"/>
    <mergeCell ref="AJ80:AK80"/>
    <mergeCell ref="AL80:AM80"/>
    <mergeCell ref="AF82:AG82"/>
    <mergeCell ref="W83:Y83"/>
    <mergeCell ref="Z83:AA83"/>
    <mergeCell ref="AB83:AC83"/>
    <mergeCell ref="AD83:AE83"/>
    <mergeCell ref="AF83:AG83"/>
    <mergeCell ref="T75:T94"/>
    <mergeCell ref="U75:U94"/>
    <mergeCell ref="Z75:AA75"/>
    <mergeCell ref="AB75:AC75"/>
    <mergeCell ref="AD75:AE75"/>
    <mergeCell ref="AF75:AG75"/>
    <mergeCell ref="AF76:AG76"/>
    <mergeCell ref="AT83:AU83"/>
    <mergeCell ref="AV83:AY83"/>
    <mergeCell ref="AN81:AQ81"/>
    <mergeCell ref="AN82:AQ82"/>
    <mergeCell ref="AR82:AS82"/>
    <mergeCell ref="AT82:AU82"/>
    <mergeCell ref="AV82:AY82"/>
    <mergeCell ref="AN83:AQ83"/>
    <mergeCell ref="AR83:AS83"/>
    <mergeCell ref="AB50:AC50"/>
    <mergeCell ref="AL59:AM59"/>
    <mergeCell ref="AN59:AQ59"/>
    <mergeCell ref="AR59:AS59"/>
    <mergeCell ref="AT59:AU59"/>
    <mergeCell ref="AV59:AY59"/>
    <mergeCell ref="T72:BA74"/>
    <mergeCell ref="AN84:AQ84"/>
    <mergeCell ref="AR84:AS84"/>
    <mergeCell ref="AT84:AU84"/>
    <mergeCell ref="AV84:AY84"/>
    <mergeCell ref="Z50:AA50"/>
    <mergeCell ref="W84:Y84"/>
    <mergeCell ref="Z84:AA84"/>
    <mergeCell ref="AB84:AC84"/>
    <mergeCell ref="AD84:AE84"/>
    <mergeCell ref="AF84:AG84"/>
    <mergeCell ref="AH84:AI84"/>
    <mergeCell ref="H2:H94"/>
    <mergeCell ref="I2:I94"/>
    <mergeCell ref="J2:J66"/>
    <mergeCell ref="K2:K66"/>
    <mergeCell ref="L60:M61"/>
    <mergeCell ref="O60:O61"/>
    <mergeCell ref="P60:P61"/>
    <mergeCell ref="L64:P66"/>
    <mergeCell ref="J86:R94"/>
    <mergeCell ref="R2:R66"/>
    <mergeCell ref="S2:S94"/>
    <mergeCell ref="BB1:BB95"/>
    <mergeCell ref="AZ2:AZ70"/>
    <mergeCell ref="BA2:BA70"/>
    <mergeCell ref="AZ75:AZ94"/>
    <mergeCell ref="BA75:BA94"/>
    <mergeCell ref="C2:F3"/>
    <mergeCell ref="C7:F7"/>
    <mergeCell ref="C61:F94"/>
    <mergeCell ref="C95:F95"/>
    <mergeCell ref="L12:N12"/>
    <mergeCell ref="L13:N13"/>
    <mergeCell ref="W91:Y91"/>
    <mergeCell ref="Z91:AA91"/>
    <mergeCell ref="I95:S95"/>
    <mergeCell ref="T95:BA95"/>
  </mergeCells>
  <conditionalFormatting sqref="O43:O45">
    <cfRule type="cellIs" dxfId="0" priority="1" operator="lessThan">
      <formula>0</formula>
    </cfRule>
  </conditionalFormatting>
  <conditionalFormatting sqref="O31:O32 O39:O41 O45">
    <cfRule type="cellIs" dxfId="0" priority="2" operator="lessThan">
      <formula>0</formula>
    </cfRule>
  </conditionalFormatting>
  <conditionalFormatting sqref="O34 O36:O41 O43">
    <cfRule type="cellIs" dxfId="0" priority="3" stopIfTrue="1" operator="lessThan">
      <formula>0</formula>
    </cfRule>
  </conditionalFormatting>
  <conditionalFormatting sqref="P21:P22 P24:P29 P31:P32 P34:P41 P43:P45">
    <cfRule type="cellIs" dxfId="1" priority="4" operator="equal">
      <formula>"To Pay"</formula>
    </cfRule>
  </conditionalFormatting>
  <conditionalFormatting sqref="L20:O47 P21:P47">
    <cfRule type="expression" dxfId="2" priority="5">
      <formula>$P20="Paid"</formula>
    </cfRule>
  </conditionalFormatting>
  <conditionalFormatting sqref="E36:E38 O62:P63">
    <cfRule type="expression" dxfId="3" priority="6">
      <formula>$E$36&lt;$P$62</formula>
    </cfRule>
  </conditionalFormatting>
  <conditionalFormatting sqref="E32:E34 AB37:AB38">
    <cfRule type="expression" dxfId="3" priority="7">
      <formula>$E$32&gt;$E$32</formula>
    </cfRule>
  </conditionalFormatting>
  <conditionalFormatting sqref="E32:E34 AB37:AB38">
    <cfRule type="expression" dxfId="4" priority="8">
      <formula>$E$32&lt;$E$32</formula>
    </cfRule>
  </conditionalFormatting>
  <conditionalFormatting sqref="E36:E38">
    <cfRule type="expression" dxfId="4" priority="9">
      <formula>$E$36&gt;$P$62</formula>
    </cfRule>
  </conditionalFormatting>
  <dataValidations>
    <dataValidation type="list" allowBlank="1" sqref="E21">
      <formula1>"1,2,3,4,5"</formula1>
    </dataValidation>
    <dataValidation type="list" allowBlank="1" showInputMessage="1" prompt="Interest Only or Principal &amp; Interest?" sqref="E28">
      <formula1>"I/O,P&amp;I"</formula1>
    </dataValidation>
    <dataValidation type="list" allowBlank="1" sqref="M77">
      <formula1>"Low,High"</formula1>
    </dataValidation>
    <dataValidation type="list" allowBlank="1" sqref="M79">
      <formula1>"Down,Stable,Up"</formula1>
    </dataValidation>
    <dataValidation type="list" allowBlank="1" showErrorMessage="1" sqref="E12">
      <formula1>"NSW,QLD,VIC,SA,WA,TAS,NT,ACT"</formula1>
    </dataValidation>
    <dataValidation type="list" allowBlank="1" showErrorMessage="1" sqref="P22 P25:P29 P32 P35:P41 P44:P45">
      <formula1>"Paid,To Pay"</formula1>
    </dataValidation>
  </dataValidations>
  <printOptions/>
  <pageMargins bottom="0.7480314960629921" footer="0.0" header="0.0" left="0.7086614173228347" right="0.7086614173228347" top="0.7480314960629921"/>
  <pageSetup orientation="landscape"/>
  <headerFooter>
    <oddHeader>&amp;L&amp;A&amp;C&amp;F&amp;R&amp;D &amp;T</oddHeader>
  </headerFoo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43"/>
    <col customWidth="1" min="3" max="3" width="11.29"/>
    <col customWidth="1" min="4" max="4" width="18.29"/>
    <col customWidth="1" min="5" max="5" width="18.43"/>
    <col customWidth="1" min="6" max="6" width="21.0"/>
    <col customWidth="1" min="7" max="7" width="8.71"/>
    <col customWidth="1" min="8" max="8" width="11.43"/>
    <col customWidth="1" min="9" max="9" width="9.14"/>
    <col customWidth="1" min="10" max="11" width="18.14"/>
    <col customWidth="1" min="12" max="12" width="11.71"/>
    <col customWidth="1" min="13" max="13" width="15.29"/>
    <col customWidth="1" min="14" max="15" width="8.71"/>
    <col customWidth="1" hidden="1" min="16" max="17" width="8.71"/>
    <col customWidth="1" min="18" max="26" width="8.71"/>
  </cols>
  <sheetData>
    <row r="1">
      <c r="A1" s="389" t="s">
        <v>179</v>
      </c>
      <c r="B1" s="182"/>
      <c r="C1" s="182"/>
      <c r="D1" s="182"/>
      <c r="E1" s="182"/>
      <c r="F1" s="390"/>
      <c r="G1" s="391"/>
      <c r="H1" s="391"/>
      <c r="I1" s="391"/>
      <c r="J1" s="392" t="s">
        <v>180</v>
      </c>
      <c r="K1" s="392"/>
      <c r="L1" s="393" t="s">
        <v>181</v>
      </c>
      <c r="M1" s="393" t="s">
        <v>182</v>
      </c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</row>
    <row r="2">
      <c r="A2" s="394" t="s">
        <v>183</v>
      </c>
      <c r="B2" s="395" t="s">
        <v>184</v>
      </c>
      <c r="C2" s="394" t="s">
        <v>185</v>
      </c>
      <c r="D2" s="395" t="s">
        <v>186</v>
      </c>
      <c r="E2" s="395" t="s">
        <v>187</v>
      </c>
      <c r="F2" s="395" t="s">
        <v>188</v>
      </c>
      <c r="G2" s="391"/>
      <c r="H2" s="395" t="s">
        <v>189</v>
      </c>
      <c r="I2" s="395" t="s">
        <v>190</v>
      </c>
      <c r="J2" s="393" t="s">
        <v>191</v>
      </c>
      <c r="K2" s="393" t="s">
        <v>192</v>
      </c>
      <c r="L2" s="396">
        <v>300000.0</v>
      </c>
      <c r="M2" s="396">
        <v>300000.01</v>
      </c>
      <c r="N2" s="391"/>
      <c r="O2" s="391"/>
      <c r="P2" s="395" t="s">
        <v>189</v>
      </c>
      <c r="Q2" s="395" t="s">
        <v>190</v>
      </c>
      <c r="R2" s="391"/>
      <c r="S2" s="391"/>
      <c r="T2" s="391"/>
      <c r="U2" s="391"/>
      <c r="V2" s="391"/>
      <c r="W2" s="391"/>
      <c r="X2" s="391"/>
      <c r="Y2" s="391"/>
      <c r="Z2" s="391"/>
    </row>
    <row r="3" ht="12.0" customHeight="1">
      <c r="A3" s="397">
        <v>0.0</v>
      </c>
      <c r="B3" s="397">
        <v>0.0</v>
      </c>
      <c r="C3" s="397">
        <v>14000.0</v>
      </c>
      <c r="D3" s="398">
        <v>0.0</v>
      </c>
      <c r="E3" s="399">
        <v>1.25</v>
      </c>
      <c r="F3" s="399">
        <v>100.0</v>
      </c>
      <c r="G3" s="400"/>
      <c r="H3" s="401" t="s">
        <v>193</v>
      </c>
      <c r="I3" s="401">
        <v>1.0</v>
      </c>
      <c r="J3" s="402">
        <v>0.8001</v>
      </c>
      <c r="K3" s="402">
        <v>0.82</v>
      </c>
      <c r="L3" s="402">
        <v>0.004</v>
      </c>
      <c r="M3" s="402">
        <v>0.0051</v>
      </c>
      <c r="N3" s="400"/>
      <c r="O3" s="400"/>
      <c r="P3" s="401" t="s">
        <v>193</v>
      </c>
      <c r="Q3" s="401">
        <v>1.0</v>
      </c>
      <c r="R3" s="400"/>
      <c r="S3" s="400"/>
      <c r="T3" s="400"/>
      <c r="U3" s="400"/>
      <c r="V3" s="400"/>
      <c r="W3" s="400"/>
      <c r="X3" s="400"/>
      <c r="Y3" s="400"/>
      <c r="Z3" s="400"/>
    </row>
    <row r="4" ht="12.0" customHeight="1">
      <c r="A4" s="397">
        <f t="shared" ref="A4:A8" si="1">B4+1</f>
        <v>14001</v>
      </c>
      <c r="B4" s="397">
        <f t="shared" ref="B4:B8" si="2">C3</f>
        <v>14000</v>
      </c>
      <c r="C4" s="397">
        <v>30000.0</v>
      </c>
      <c r="D4" s="397">
        <v>175.0</v>
      </c>
      <c r="E4" s="399">
        <v>1.5</v>
      </c>
      <c r="F4" s="399">
        <v>100.0</v>
      </c>
      <c r="G4" s="400"/>
      <c r="H4" s="401" t="s">
        <v>194</v>
      </c>
      <c r="I4" s="401">
        <v>2.0</v>
      </c>
      <c r="J4" s="402">
        <v>0.8201</v>
      </c>
      <c r="K4" s="402">
        <v>0.84</v>
      </c>
      <c r="L4" s="402">
        <v>0.006</v>
      </c>
      <c r="M4" s="402">
        <v>0.0073</v>
      </c>
      <c r="N4" s="400"/>
      <c r="O4" s="400"/>
      <c r="P4" s="401" t="s">
        <v>194</v>
      </c>
      <c r="Q4" s="401">
        <v>2.0</v>
      </c>
      <c r="R4" s="400"/>
      <c r="S4" s="400"/>
      <c r="T4" s="400"/>
      <c r="U4" s="400"/>
      <c r="V4" s="400"/>
      <c r="W4" s="400"/>
      <c r="X4" s="400"/>
      <c r="Y4" s="400"/>
      <c r="Z4" s="400"/>
    </row>
    <row r="5" ht="12.0" customHeight="1">
      <c r="A5" s="397">
        <f t="shared" si="1"/>
        <v>30001</v>
      </c>
      <c r="B5" s="397">
        <f t="shared" si="2"/>
        <v>30000</v>
      </c>
      <c r="C5" s="397">
        <v>80000.0</v>
      </c>
      <c r="D5" s="397">
        <v>415.0</v>
      </c>
      <c r="E5" s="399">
        <v>1.75</v>
      </c>
      <c r="F5" s="399">
        <v>100.0</v>
      </c>
      <c r="G5" s="400"/>
      <c r="H5" s="401" t="s">
        <v>16</v>
      </c>
      <c r="I5" s="401">
        <v>3.0</v>
      </c>
      <c r="J5" s="402">
        <v>0.8401</v>
      </c>
      <c r="K5" s="402">
        <v>0.86</v>
      </c>
      <c r="L5" s="402">
        <v>0.0074</v>
      </c>
      <c r="M5" s="402">
        <v>0.0085</v>
      </c>
      <c r="N5" s="400"/>
      <c r="O5" s="400"/>
      <c r="P5" s="401" t="s">
        <v>16</v>
      </c>
      <c r="Q5" s="401">
        <v>3.0</v>
      </c>
      <c r="R5" s="400"/>
      <c r="S5" s="400"/>
      <c r="T5" s="400"/>
      <c r="U5" s="400"/>
      <c r="V5" s="400"/>
      <c r="W5" s="400"/>
      <c r="X5" s="400"/>
      <c r="Y5" s="400"/>
      <c r="Z5" s="400"/>
    </row>
    <row r="6" ht="12.0" customHeight="1">
      <c r="A6" s="397">
        <f t="shared" si="1"/>
        <v>80001</v>
      </c>
      <c r="B6" s="397">
        <f t="shared" si="2"/>
        <v>80000</v>
      </c>
      <c r="C6" s="397">
        <v>300000.0</v>
      </c>
      <c r="D6" s="397">
        <v>1290.0</v>
      </c>
      <c r="E6" s="399">
        <v>3.5</v>
      </c>
      <c r="F6" s="399">
        <v>100.0</v>
      </c>
      <c r="G6" s="400"/>
      <c r="H6" s="401" t="s">
        <v>195</v>
      </c>
      <c r="I6" s="401">
        <v>4.0</v>
      </c>
      <c r="J6" s="402">
        <v>0.8601</v>
      </c>
      <c r="K6" s="402">
        <v>0.88</v>
      </c>
      <c r="L6" s="402">
        <v>0.0089</v>
      </c>
      <c r="M6" s="402">
        <v>0.0098</v>
      </c>
      <c r="N6" s="400"/>
      <c r="O6" s="400"/>
      <c r="P6" s="401" t="s">
        <v>195</v>
      </c>
      <c r="Q6" s="401">
        <v>4.0</v>
      </c>
      <c r="R6" s="400"/>
      <c r="S6" s="400"/>
      <c r="T6" s="400"/>
      <c r="U6" s="400"/>
      <c r="V6" s="400"/>
      <c r="W6" s="400"/>
      <c r="X6" s="400"/>
      <c r="Y6" s="400"/>
      <c r="Z6" s="400"/>
    </row>
    <row r="7" ht="12.0" customHeight="1">
      <c r="A7" s="397">
        <f t="shared" si="1"/>
        <v>300001</v>
      </c>
      <c r="B7" s="397">
        <f t="shared" si="2"/>
        <v>300000</v>
      </c>
      <c r="C7" s="397">
        <v>1000000.0</v>
      </c>
      <c r="D7" s="397">
        <v>8990.0</v>
      </c>
      <c r="E7" s="399">
        <v>4.5</v>
      </c>
      <c r="F7" s="399">
        <v>100.0</v>
      </c>
      <c r="G7" s="400"/>
      <c r="H7" s="401" t="s">
        <v>196</v>
      </c>
      <c r="I7" s="401">
        <v>5.0</v>
      </c>
      <c r="J7" s="402">
        <v>0.8801</v>
      </c>
      <c r="K7" s="402">
        <v>0.9</v>
      </c>
      <c r="L7" s="402">
        <v>0.012</v>
      </c>
      <c r="M7" s="402">
        <v>0.0125</v>
      </c>
      <c r="N7" s="400"/>
      <c r="O7" s="400"/>
      <c r="P7" s="401" t="s">
        <v>196</v>
      </c>
      <c r="Q7" s="401">
        <v>5.0</v>
      </c>
      <c r="R7" s="400"/>
      <c r="S7" s="400"/>
      <c r="T7" s="400"/>
      <c r="U7" s="400"/>
      <c r="V7" s="400"/>
      <c r="W7" s="400"/>
      <c r="X7" s="400"/>
      <c r="Y7" s="400"/>
      <c r="Z7" s="400"/>
    </row>
    <row r="8" ht="12.0" customHeight="1">
      <c r="A8" s="397">
        <f t="shared" si="1"/>
        <v>1000001</v>
      </c>
      <c r="B8" s="397">
        <f t="shared" si="2"/>
        <v>1000000</v>
      </c>
      <c r="C8" s="397"/>
      <c r="D8" s="397">
        <v>40490.0</v>
      </c>
      <c r="E8" s="399">
        <v>5.5</v>
      </c>
      <c r="F8" s="399">
        <v>100.0</v>
      </c>
      <c r="G8" s="400"/>
      <c r="H8" s="401" t="s">
        <v>197</v>
      </c>
      <c r="I8" s="401">
        <v>6.0</v>
      </c>
      <c r="J8" s="402">
        <v>0.9001</v>
      </c>
      <c r="K8" s="402">
        <v>0.92</v>
      </c>
      <c r="L8" s="402">
        <v>0.0165</v>
      </c>
      <c r="M8" s="402">
        <v>0.017</v>
      </c>
      <c r="N8" s="400"/>
      <c r="O8" s="400"/>
      <c r="P8" s="401" t="s">
        <v>197</v>
      </c>
      <c r="Q8" s="401">
        <v>6.0</v>
      </c>
      <c r="R8" s="400"/>
      <c r="S8" s="400"/>
      <c r="T8" s="400"/>
      <c r="U8" s="400"/>
      <c r="V8" s="400"/>
      <c r="W8" s="400"/>
      <c r="X8" s="400"/>
      <c r="Y8" s="400"/>
      <c r="Z8" s="400"/>
    </row>
    <row r="9" ht="12.0" customHeight="1">
      <c r="A9" s="400"/>
      <c r="B9" s="400"/>
      <c r="C9" s="400"/>
      <c r="D9" s="400"/>
      <c r="E9" s="400"/>
      <c r="F9" s="400"/>
      <c r="G9" s="400"/>
      <c r="H9" s="400"/>
      <c r="I9" s="400"/>
      <c r="J9" s="402">
        <v>0.9201</v>
      </c>
      <c r="K9" s="402">
        <v>0.94</v>
      </c>
      <c r="L9" s="402">
        <v>0.0185</v>
      </c>
      <c r="M9" s="402">
        <v>0.0194</v>
      </c>
      <c r="N9" s="400"/>
      <c r="O9" s="400"/>
      <c r="P9" s="400"/>
      <c r="Q9" s="400"/>
      <c r="R9" s="400"/>
      <c r="S9" s="400"/>
      <c r="T9" s="400"/>
      <c r="U9" s="400"/>
      <c r="V9" s="400"/>
      <c r="W9" s="400"/>
      <c r="X9" s="400"/>
      <c r="Y9" s="400"/>
      <c r="Z9" s="400"/>
    </row>
    <row r="10" ht="12.0" customHeight="1">
      <c r="A10" s="403" t="s">
        <v>198</v>
      </c>
      <c r="B10" s="182"/>
      <c r="C10" s="182"/>
      <c r="D10" s="182"/>
      <c r="E10" s="182"/>
      <c r="F10" s="390"/>
      <c r="G10" s="400"/>
      <c r="H10" s="400"/>
      <c r="I10" s="400"/>
      <c r="J10" s="402">
        <v>0.9401</v>
      </c>
      <c r="K10" s="402">
        <v>0.95</v>
      </c>
      <c r="L10" s="402">
        <v>0.0205</v>
      </c>
      <c r="M10" s="402">
        <v>0.0229</v>
      </c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</row>
    <row r="11" ht="20.25" customHeight="1">
      <c r="A11" s="404" t="s">
        <v>183</v>
      </c>
      <c r="B11" s="405" t="s">
        <v>184</v>
      </c>
      <c r="C11" s="404" t="s">
        <v>185</v>
      </c>
      <c r="D11" s="405" t="s">
        <v>186</v>
      </c>
      <c r="E11" s="405" t="s">
        <v>187</v>
      </c>
      <c r="F11" s="405" t="s">
        <v>188</v>
      </c>
      <c r="G11" s="400"/>
      <c r="H11" s="400"/>
      <c r="I11" s="400"/>
      <c r="J11" s="400"/>
      <c r="K11" s="400"/>
      <c r="L11" s="400"/>
      <c r="M11" s="400"/>
      <c r="N11" s="400"/>
      <c r="O11" s="400"/>
      <c r="P11" s="400"/>
      <c r="Q11" s="400"/>
      <c r="R11" s="400"/>
      <c r="S11" s="400"/>
      <c r="T11" s="400"/>
      <c r="U11" s="400"/>
      <c r="V11" s="400"/>
      <c r="W11" s="400"/>
      <c r="X11" s="400"/>
      <c r="Y11" s="400"/>
      <c r="Z11" s="400"/>
    </row>
    <row r="12" ht="12.0" customHeight="1">
      <c r="A12" s="397">
        <v>0.0</v>
      </c>
      <c r="B12" s="397">
        <v>0.0</v>
      </c>
      <c r="C12" s="397">
        <v>5000.0</v>
      </c>
      <c r="D12" s="397">
        <v>0.0</v>
      </c>
      <c r="E12" s="399">
        <v>0.0</v>
      </c>
      <c r="F12" s="399">
        <v>100.0</v>
      </c>
      <c r="G12" s="400"/>
      <c r="H12" s="400"/>
      <c r="I12" s="400"/>
      <c r="J12" s="400"/>
      <c r="K12" s="400"/>
      <c r="L12" s="400"/>
      <c r="M12" s="400"/>
      <c r="N12" s="400"/>
      <c r="O12" s="400"/>
      <c r="P12" s="400"/>
      <c r="Q12" s="400"/>
      <c r="R12" s="400"/>
      <c r="S12" s="400"/>
      <c r="T12" s="400"/>
      <c r="U12" s="400"/>
      <c r="V12" s="400"/>
      <c r="W12" s="400"/>
      <c r="X12" s="400"/>
      <c r="Y12" s="400"/>
      <c r="Z12" s="400"/>
    </row>
    <row r="13" ht="12.0" customHeight="1">
      <c r="A13" s="397">
        <f t="shared" ref="A13:A16" si="3">B13+1</f>
        <v>5001</v>
      </c>
      <c r="B13" s="397">
        <f t="shared" ref="B13:B16" si="4">C12</f>
        <v>5000</v>
      </c>
      <c r="C13" s="397">
        <v>75000.0</v>
      </c>
      <c r="D13" s="397">
        <f>E12*C12</f>
        <v>0</v>
      </c>
      <c r="E13" s="399">
        <v>1.5</v>
      </c>
      <c r="F13" s="399">
        <v>100.0</v>
      </c>
      <c r="G13" s="400"/>
      <c r="H13" s="400"/>
      <c r="I13" s="400"/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</row>
    <row r="14" ht="12.0" customHeight="1">
      <c r="A14" s="397">
        <f t="shared" si="3"/>
        <v>75001</v>
      </c>
      <c r="B14" s="397">
        <f t="shared" si="4"/>
        <v>75000</v>
      </c>
      <c r="C14" s="397">
        <v>540000.0</v>
      </c>
      <c r="D14" s="397">
        <f>((C13-B13)*E13)/F13</f>
        <v>1050</v>
      </c>
      <c r="E14" s="399">
        <v>3.5</v>
      </c>
      <c r="F14" s="399">
        <v>100.0</v>
      </c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400"/>
      <c r="Y14" s="400"/>
      <c r="Z14" s="400"/>
    </row>
    <row r="15" ht="12.0" customHeight="1">
      <c r="A15" s="397">
        <f t="shared" si="3"/>
        <v>540001</v>
      </c>
      <c r="B15" s="397">
        <f t="shared" si="4"/>
        <v>540000</v>
      </c>
      <c r="C15" s="397">
        <v>1000000.0</v>
      </c>
      <c r="D15" s="397">
        <f t="shared" ref="D15:D16" si="5">((C14-B14)*E14)/F14+D14</f>
        <v>17325</v>
      </c>
      <c r="E15" s="399">
        <v>4.5</v>
      </c>
      <c r="F15" s="399">
        <v>100.0</v>
      </c>
      <c r="G15" s="400"/>
      <c r="H15" s="400"/>
      <c r="I15" s="400"/>
      <c r="J15" s="400"/>
      <c r="K15" s="400"/>
      <c r="L15" s="400"/>
      <c r="M15" s="400"/>
      <c r="N15" s="400"/>
      <c r="O15" s="400"/>
      <c r="P15" s="400"/>
      <c r="Q15" s="400"/>
      <c r="R15" s="400"/>
      <c r="S15" s="400"/>
      <c r="T15" s="400"/>
      <c r="U15" s="400"/>
      <c r="V15" s="400"/>
      <c r="W15" s="400"/>
      <c r="X15" s="400"/>
      <c r="Y15" s="400"/>
      <c r="Z15" s="400"/>
    </row>
    <row r="16" ht="12.0" customHeight="1">
      <c r="A16" s="397">
        <f t="shared" si="3"/>
        <v>1000001</v>
      </c>
      <c r="B16" s="397">
        <f t="shared" si="4"/>
        <v>1000000</v>
      </c>
      <c r="C16" s="397"/>
      <c r="D16" s="397">
        <f t="shared" si="5"/>
        <v>38025</v>
      </c>
      <c r="E16" s="399">
        <v>5.75</v>
      </c>
      <c r="F16" s="399">
        <v>100.0</v>
      </c>
      <c r="G16" s="400"/>
      <c r="H16" s="400"/>
      <c r="I16" s="400"/>
      <c r="J16" s="400"/>
      <c r="K16" s="400"/>
      <c r="L16" s="400"/>
      <c r="M16" s="400"/>
      <c r="N16" s="400"/>
      <c r="O16" s="400"/>
      <c r="P16" s="400"/>
      <c r="Q16" s="400"/>
      <c r="R16" s="400"/>
      <c r="S16" s="400"/>
      <c r="T16" s="400"/>
      <c r="U16" s="400"/>
      <c r="V16" s="400"/>
      <c r="W16" s="400"/>
      <c r="X16" s="400"/>
      <c r="Y16" s="400"/>
      <c r="Z16" s="400"/>
    </row>
    <row r="17" ht="12.0" customHeight="1">
      <c r="A17" s="400"/>
      <c r="B17" s="400"/>
      <c r="C17" s="400"/>
      <c r="D17" s="400"/>
      <c r="E17" s="400"/>
      <c r="F17" s="400"/>
      <c r="G17" s="400"/>
      <c r="H17" s="400"/>
      <c r="I17" s="400"/>
      <c r="J17" s="400"/>
      <c r="K17" s="400"/>
      <c r="L17" s="400"/>
      <c r="M17" s="400"/>
      <c r="N17" s="400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0"/>
      <c r="Z17" s="400"/>
    </row>
    <row r="18" ht="12.0" customHeight="1">
      <c r="A18" s="406" t="s">
        <v>199</v>
      </c>
      <c r="B18" s="182"/>
      <c r="C18" s="182"/>
      <c r="D18" s="182"/>
      <c r="E18" s="182"/>
      <c r="F18" s="390"/>
      <c r="G18" s="400"/>
      <c r="H18" s="400"/>
      <c r="I18" s="400"/>
      <c r="J18" s="400"/>
      <c r="K18" s="400"/>
      <c r="L18" s="400"/>
      <c r="M18" s="400"/>
      <c r="N18" s="400"/>
      <c r="O18" s="400"/>
      <c r="P18" s="400"/>
      <c r="Q18" s="400"/>
      <c r="R18" s="400"/>
      <c r="S18" s="400"/>
      <c r="T18" s="400"/>
      <c r="U18" s="400"/>
      <c r="V18" s="400"/>
      <c r="W18" s="400"/>
      <c r="X18" s="400"/>
      <c r="Y18" s="400"/>
      <c r="Z18" s="400"/>
    </row>
    <row r="19" ht="20.25" customHeight="1">
      <c r="A19" s="407" t="s">
        <v>183</v>
      </c>
      <c r="B19" s="408" t="s">
        <v>184</v>
      </c>
      <c r="C19" s="407" t="s">
        <v>185</v>
      </c>
      <c r="D19" s="408" t="s">
        <v>186</v>
      </c>
      <c r="E19" s="408" t="s">
        <v>187</v>
      </c>
      <c r="F19" s="408" t="s">
        <v>188</v>
      </c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</row>
    <row r="20" ht="12.0" customHeight="1">
      <c r="A20" s="397">
        <v>0.0</v>
      </c>
      <c r="B20" s="397">
        <v>0.0</v>
      </c>
      <c r="C20" s="397">
        <v>25000.0</v>
      </c>
      <c r="D20" s="397">
        <v>0.0</v>
      </c>
      <c r="E20" s="399">
        <v>1.4</v>
      </c>
      <c r="F20" s="399">
        <v>100.0</v>
      </c>
      <c r="G20" s="400"/>
      <c r="H20" s="400"/>
      <c r="I20" s="400"/>
      <c r="J20" s="400"/>
      <c r="K20" s="400"/>
      <c r="L20" s="400"/>
      <c r="M20" s="400"/>
      <c r="N20" s="400"/>
      <c r="O20" s="400"/>
      <c r="P20" s="400"/>
      <c r="Q20" s="400"/>
      <c r="R20" s="400"/>
      <c r="S20" s="400"/>
      <c r="T20" s="400"/>
      <c r="U20" s="400"/>
      <c r="V20" s="400"/>
      <c r="W20" s="400"/>
      <c r="X20" s="400"/>
      <c r="Y20" s="400"/>
      <c r="Z20" s="400"/>
    </row>
    <row r="21" ht="12.0" customHeight="1">
      <c r="A21" s="397">
        <f t="shared" ref="A21:A23" si="6">B21+1</f>
        <v>25001</v>
      </c>
      <c r="B21" s="397">
        <f t="shared" ref="B21:B23" si="7">C20</f>
        <v>25000</v>
      </c>
      <c r="C21" s="397">
        <v>130000.0</v>
      </c>
      <c r="D21" s="397">
        <f>(E20*C20)/F20</f>
        <v>350</v>
      </c>
      <c r="E21" s="399">
        <v>2.4</v>
      </c>
      <c r="F21" s="399">
        <v>100.0</v>
      </c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</row>
    <row r="22" ht="12.0" customHeight="1">
      <c r="A22" s="397">
        <f t="shared" si="6"/>
        <v>130001</v>
      </c>
      <c r="B22" s="397">
        <f t="shared" si="7"/>
        <v>130000</v>
      </c>
      <c r="C22" s="397">
        <v>960000.0</v>
      </c>
      <c r="D22" s="397">
        <f t="shared" ref="D22:D23" si="8">(((C21-B21)*E21)/F21)+D21</f>
        <v>2870</v>
      </c>
      <c r="E22" s="399">
        <v>6.0</v>
      </c>
      <c r="F22" s="399">
        <v>100.0</v>
      </c>
      <c r="G22" s="400"/>
      <c r="H22" s="400"/>
      <c r="I22" s="400"/>
      <c r="J22" s="400"/>
      <c r="K22" s="400"/>
      <c r="L22" s="400"/>
      <c r="M22" s="400"/>
      <c r="N22" s="400"/>
      <c r="O22" s="400"/>
      <c r="P22" s="400"/>
      <c r="Q22" s="400"/>
      <c r="R22" s="400"/>
      <c r="S22" s="400"/>
      <c r="T22" s="400"/>
      <c r="U22" s="400"/>
      <c r="V22" s="400"/>
      <c r="W22" s="400"/>
      <c r="X22" s="400"/>
      <c r="Y22" s="400"/>
      <c r="Z22" s="400"/>
    </row>
    <row r="23" ht="12.0" customHeight="1">
      <c r="A23" s="397">
        <f t="shared" si="6"/>
        <v>960001</v>
      </c>
      <c r="B23" s="397">
        <f t="shared" si="7"/>
        <v>960000</v>
      </c>
      <c r="C23" s="397"/>
      <c r="D23" s="397">
        <f t="shared" si="8"/>
        <v>52670</v>
      </c>
      <c r="E23" s="399">
        <v>5.5</v>
      </c>
      <c r="F23" s="399">
        <v>100.0</v>
      </c>
      <c r="G23" s="400"/>
      <c r="H23" s="400"/>
      <c r="I23" s="400"/>
      <c r="J23" s="400"/>
      <c r="K23" s="400"/>
      <c r="L23" s="400"/>
      <c r="M23" s="400"/>
      <c r="N23" s="400"/>
      <c r="O23" s="400"/>
      <c r="P23" s="400"/>
      <c r="Q23" s="400"/>
      <c r="R23" s="400"/>
      <c r="S23" s="400"/>
      <c r="T23" s="400"/>
      <c r="U23" s="400"/>
      <c r="V23" s="400"/>
      <c r="W23" s="400"/>
      <c r="X23" s="400"/>
      <c r="Y23" s="400"/>
      <c r="Z23" s="400"/>
    </row>
    <row r="24" ht="12.0" customHeight="1">
      <c r="A24" s="400"/>
      <c r="B24" s="400"/>
      <c r="C24" s="400"/>
      <c r="D24" s="400"/>
      <c r="E24" s="400"/>
      <c r="F24" s="400"/>
      <c r="G24" s="400"/>
      <c r="H24" s="400"/>
      <c r="I24" s="400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</row>
    <row r="25" ht="12.0" customHeight="1">
      <c r="A25" s="409" t="s">
        <v>200</v>
      </c>
      <c r="B25" s="182"/>
      <c r="C25" s="182"/>
      <c r="D25" s="182"/>
      <c r="E25" s="182"/>
      <c r="F25" s="390"/>
      <c r="G25" s="400"/>
      <c r="H25" s="400"/>
      <c r="I25" s="400"/>
      <c r="J25" s="400"/>
      <c r="K25" s="400"/>
      <c r="L25" s="400"/>
      <c r="M25" s="400"/>
      <c r="N25" s="400"/>
      <c r="O25" s="400"/>
      <c r="P25" s="400"/>
      <c r="Q25" s="400"/>
      <c r="R25" s="400"/>
      <c r="S25" s="400"/>
      <c r="T25" s="400"/>
      <c r="U25" s="400"/>
      <c r="V25" s="400"/>
      <c r="W25" s="400"/>
      <c r="X25" s="400"/>
      <c r="Y25" s="400"/>
      <c r="Z25" s="400"/>
    </row>
    <row r="26" ht="20.25" customHeight="1">
      <c r="A26" s="410" t="s">
        <v>183</v>
      </c>
      <c r="B26" s="411" t="s">
        <v>184</v>
      </c>
      <c r="C26" s="410" t="s">
        <v>185</v>
      </c>
      <c r="D26" s="411" t="s">
        <v>186</v>
      </c>
      <c r="E26" s="411" t="s">
        <v>187</v>
      </c>
      <c r="F26" s="411" t="s">
        <v>188</v>
      </c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</row>
    <row r="27" ht="12.0" customHeight="1">
      <c r="A27" s="397">
        <v>0.0</v>
      </c>
      <c r="B27" s="397">
        <v>0.0</v>
      </c>
      <c r="C27" s="397">
        <v>120000.0</v>
      </c>
      <c r="D27" s="397">
        <v>0.0</v>
      </c>
      <c r="E27" s="399">
        <v>1.9</v>
      </c>
      <c r="F27" s="399">
        <v>100.0</v>
      </c>
      <c r="G27" s="400"/>
      <c r="H27" s="400"/>
      <c r="I27" s="400"/>
      <c r="J27" s="400"/>
      <c r="K27" s="400"/>
      <c r="L27" s="400"/>
      <c r="M27" s="400"/>
      <c r="N27" s="400"/>
      <c r="O27" s="400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</row>
    <row r="28" ht="12.0" customHeight="1">
      <c r="A28" s="397">
        <f t="shared" ref="A28:A31" si="9">B28+1</f>
        <v>120001</v>
      </c>
      <c r="B28" s="397">
        <f t="shared" ref="B28:B31" si="10">C27</f>
        <v>120000</v>
      </c>
      <c r="C28" s="397">
        <v>150000.0</v>
      </c>
      <c r="D28" s="397">
        <f>(E27*C27)/F27</f>
        <v>2280</v>
      </c>
      <c r="E28" s="399">
        <v>2.85</v>
      </c>
      <c r="F28" s="399">
        <v>100.0</v>
      </c>
      <c r="G28" s="400"/>
      <c r="H28" s="400"/>
      <c r="I28" s="400"/>
      <c r="J28" s="400"/>
      <c r="K28" s="400"/>
      <c r="L28" s="400"/>
      <c r="M28" s="400"/>
      <c r="N28" s="400"/>
      <c r="O28" s="400"/>
      <c r="P28" s="400"/>
      <c r="Q28" s="400"/>
      <c r="R28" s="400"/>
      <c r="S28" s="400"/>
      <c r="T28" s="400"/>
      <c r="U28" s="400"/>
      <c r="V28" s="400"/>
      <c r="W28" s="400"/>
      <c r="X28" s="400"/>
      <c r="Y28" s="400"/>
      <c r="Z28" s="400"/>
    </row>
    <row r="29" ht="12.0" customHeight="1">
      <c r="A29" s="397">
        <f t="shared" si="9"/>
        <v>150001</v>
      </c>
      <c r="B29" s="397">
        <f t="shared" si="10"/>
        <v>150000</v>
      </c>
      <c r="C29" s="397">
        <v>360000.0</v>
      </c>
      <c r="D29" s="397">
        <f t="shared" ref="D29:D31" si="11">((C28-B28)*E28)/F28+D28</f>
        <v>3135</v>
      </c>
      <c r="E29" s="399">
        <v>3.8</v>
      </c>
      <c r="F29" s="399">
        <v>100.0</v>
      </c>
      <c r="G29" s="400"/>
      <c r="H29" s="400"/>
      <c r="I29" s="400"/>
      <c r="J29" s="400"/>
      <c r="K29" s="400"/>
      <c r="L29" s="400"/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</row>
    <row r="30" ht="12.0" customHeight="1">
      <c r="A30" s="397">
        <f t="shared" si="9"/>
        <v>360001</v>
      </c>
      <c r="B30" s="397">
        <f t="shared" si="10"/>
        <v>360000</v>
      </c>
      <c r="C30" s="397">
        <v>725000.0</v>
      </c>
      <c r="D30" s="397">
        <f t="shared" si="11"/>
        <v>11115</v>
      </c>
      <c r="E30" s="399">
        <v>4.75</v>
      </c>
      <c r="F30" s="399">
        <v>100.0</v>
      </c>
      <c r="G30" s="400"/>
      <c r="H30" s="400"/>
      <c r="I30" s="400"/>
      <c r="J30" s="400"/>
      <c r="K30" s="400"/>
      <c r="L30" s="400"/>
      <c r="M30" s="400"/>
      <c r="N30" s="400"/>
      <c r="O30" s="400"/>
      <c r="P30" s="400"/>
      <c r="Q30" s="400"/>
      <c r="R30" s="400"/>
      <c r="S30" s="400"/>
      <c r="T30" s="400"/>
      <c r="U30" s="400"/>
      <c r="V30" s="400"/>
      <c r="W30" s="400"/>
      <c r="X30" s="400"/>
      <c r="Y30" s="400"/>
      <c r="Z30" s="400"/>
    </row>
    <row r="31" ht="12.0" customHeight="1">
      <c r="A31" s="397">
        <f t="shared" si="9"/>
        <v>725001</v>
      </c>
      <c r="B31" s="397">
        <f t="shared" si="10"/>
        <v>725000</v>
      </c>
      <c r="C31" s="397"/>
      <c r="D31" s="397">
        <f t="shared" si="11"/>
        <v>28452.5</v>
      </c>
      <c r="E31" s="399">
        <v>5.15</v>
      </c>
      <c r="F31" s="399">
        <v>100.0</v>
      </c>
      <c r="G31" s="400"/>
      <c r="H31" s="400"/>
      <c r="I31" s="400"/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0"/>
    </row>
    <row r="32" ht="12.0" customHeight="1">
      <c r="A32" s="400"/>
      <c r="B32" s="400"/>
      <c r="C32" s="400"/>
      <c r="D32" s="400"/>
      <c r="E32" s="400"/>
      <c r="F32" s="400"/>
      <c r="G32" s="400"/>
      <c r="H32" s="400"/>
      <c r="I32" s="400"/>
      <c r="J32" s="400"/>
      <c r="K32" s="400"/>
      <c r="L32" s="400"/>
      <c r="M32" s="400"/>
      <c r="N32" s="400"/>
      <c r="O32" s="400"/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0"/>
    </row>
    <row r="33" ht="12.0" customHeight="1">
      <c r="A33" s="412" t="s">
        <v>201</v>
      </c>
      <c r="B33" s="182"/>
      <c r="C33" s="182"/>
      <c r="D33" s="182"/>
      <c r="E33" s="182"/>
      <c r="F33" s="390"/>
      <c r="G33" s="400"/>
      <c r="H33" s="400"/>
      <c r="I33" s="400"/>
      <c r="J33" s="400"/>
      <c r="K33" s="400"/>
      <c r="L33" s="400"/>
      <c r="M33" s="400"/>
      <c r="N33" s="400"/>
      <c r="O33" s="400"/>
      <c r="P33" s="400"/>
      <c r="Q33" s="400"/>
      <c r="R33" s="400"/>
      <c r="S33" s="400"/>
      <c r="T33" s="400"/>
      <c r="U33" s="400"/>
      <c r="V33" s="400"/>
      <c r="W33" s="400"/>
      <c r="X33" s="400"/>
      <c r="Y33" s="400"/>
      <c r="Z33" s="400"/>
    </row>
    <row r="34" ht="20.25" customHeight="1">
      <c r="A34" s="413" t="s">
        <v>183</v>
      </c>
      <c r="B34" s="414" t="s">
        <v>184</v>
      </c>
      <c r="C34" s="413" t="s">
        <v>185</v>
      </c>
      <c r="D34" s="414" t="s">
        <v>186</v>
      </c>
      <c r="E34" s="414" t="s">
        <v>187</v>
      </c>
      <c r="F34" s="414" t="s">
        <v>188</v>
      </c>
      <c r="G34" s="400"/>
      <c r="H34" s="400"/>
      <c r="I34" s="400"/>
      <c r="J34" s="400"/>
      <c r="K34" s="400"/>
      <c r="L34" s="400"/>
      <c r="M34" s="400"/>
      <c r="N34" s="400"/>
      <c r="O34" s="400"/>
      <c r="P34" s="400"/>
      <c r="Q34" s="400"/>
      <c r="R34" s="400"/>
      <c r="S34" s="400"/>
      <c r="T34" s="400"/>
      <c r="U34" s="400"/>
      <c r="V34" s="400"/>
      <c r="W34" s="400"/>
      <c r="X34" s="400"/>
      <c r="Y34" s="400"/>
      <c r="Z34" s="400"/>
    </row>
    <row r="35" ht="12.0" customHeight="1">
      <c r="A35" s="397">
        <v>0.0</v>
      </c>
      <c r="B35" s="397">
        <v>0.0</v>
      </c>
      <c r="C35" s="397">
        <v>1300.0</v>
      </c>
      <c r="D35" s="398">
        <v>0.0</v>
      </c>
      <c r="E35" s="399">
        <v>1.5</v>
      </c>
      <c r="F35" s="399">
        <v>100.0</v>
      </c>
      <c r="G35" s="400"/>
      <c r="H35" s="400"/>
      <c r="I35" s="400"/>
      <c r="J35" s="400"/>
      <c r="K35" s="400"/>
      <c r="L35" s="400"/>
      <c r="M35" s="400"/>
      <c r="N35" s="400"/>
      <c r="O35" s="400"/>
      <c r="P35" s="400"/>
      <c r="Q35" s="400"/>
      <c r="R35" s="400"/>
      <c r="S35" s="400"/>
      <c r="T35" s="400"/>
      <c r="U35" s="400"/>
      <c r="V35" s="400"/>
      <c r="W35" s="400"/>
      <c r="X35" s="400"/>
      <c r="Y35" s="400"/>
      <c r="Z35" s="400"/>
    </row>
    <row r="36" ht="12.0" customHeight="1">
      <c r="A36" s="397">
        <f t="shared" ref="A36:A41" si="12">B36+1</f>
        <v>1301</v>
      </c>
      <c r="B36" s="397">
        <f t="shared" ref="B36:B41" si="13">C35</f>
        <v>1300</v>
      </c>
      <c r="C36" s="397">
        <v>25000.0</v>
      </c>
      <c r="D36" s="397">
        <f>(E35*C35)/F35</f>
        <v>19.5</v>
      </c>
      <c r="E36" s="399">
        <v>1.75</v>
      </c>
      <c r="F36" s="399">
        <v>100.0</v>
      </c>
      <c r="G36" s="400"/>
      <c r="H36" s="400"/>
      <c r="I36" s="400"/>
      <c r="J36" s="400"/>
      <c r="K36" s="400"/>
      <c r="L36" s="400"/>
      <c r="M36" s="400"/>
      <c r="N36" s="400"/>
      <c r="O36" s="400"/>
      <c r="P36" s="400"/>
      <c r="Q36" s="400"/>
      <c r="R36" s="400"/>
      <c r="S36" s="400"/>
      <c r="T36" s="400"/>
      <c r="U36" s="400"/>
      <c r="V36" s="400"/>
      <c r="W36" s="400"/>
      <c r="X36" s="400"/>
      <c r="Y36" s="400"/>
      <c r="Z36" s="400"/>
    </row>
    <row r="37" ht="12.0" customHeight="1">
      <c r="A37" s="397">
        <f t="shared" si="12"/>
        <v>25001</v>
      </c>
      <c r="B37" s="397">
        <f t="shared" si="13"/>
        <v>25000</v>
      </c>
      <c r="C37" s="397">
        <v>75000.0</v>
      </c>
      <c r="D37" s="397">
        <f t="shared" ref="D37:D41" si="14">ROUNDUP(((C36-B36)*E36)/F36+D36,0)</f>
        <v>435</v>
      </c>
      <c r="E37" s="399">
        <v>2.25</v>
      </c>
      <c r="F37" s="399">
        <v>100.0</v>
      </c>
      <c r="G37" s="400"/>
      <c r="H37" s="400"/>
      <c r="I37" s="400"/>
      <c r="J37" s="400"/>
      <c r="K37" s="400"/>
      <c r="L37" s="400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400"/>
      <c r="Y37" s="400"/>
      <c r="Z37" s="400"/>
    </row>
    <row r="38" ht="12.0" customHeight="1">
      <c r="A38" s="397">
        <f t="shared" si="12"/>
        <v>75001</v>
      </c>
      <c r="B38" s="397">
        <f t="shared" si="13"/>
        <v>75000</v>
      </c>
      <c r="C38" s="397">
        <v>200000.0</v>
      </c>
      <c r="D38" s="397">
        <f t="shared" si="14"/>
        <v>1560</v>
      </c>
      <c r="E38" s="399">
        <v>3.5</v>
      </c>
      <c r="F38" s="399">
        <v>100.0</v>
      </c>
      <c r="G38" s="400"/>
      <c r="H38" s="400"/>
      <c r="I38" s="400"/>
      <c r="J38" s="400"/>
      <c r="K38" s="400"/>
      <c r="L38" s="400"/>
      <c r="M38" s="400"/>
      <c r="N38" s="400"/>
      <c r="O38" s="400"/>
      <c r="P38" s="400"/>
      <c r="Q38" s="400"/>
      <c r="R38" s="400"/>
      <c r="S38" s="400"/>
      <c r="T38" s="400"/>
      <c r="U38" s="400"/>
      <c r="V38" s="400"/>
      <c r="W38" s="400"/>
      <c r="X38" s="400"/>
      <c r="Y38" s="400"/>
      <c r="Z38" s="400"/>
    </row>
    <row r="39" ht="12.0" customHeight="1">
      <c r="A39" s="397">
        <f t="shared" si="12"/>
        <v>200001</v>
      </c>
      <c r="B39" s="397">
        <f t="shared" si="13"/>
        <v>200000</v>
      </c>
      <c r="C39" s="397">
        <v>375000.0</v>
      </c>
      <c r="D39" s="397">
        <f t="shared" si="14"/>
        <v>5935</v>
      </c>
      <c r="E39" s="399">
        <v>4.0</v>
      </c>
      <c r="F39" s="399">
        <v>100.0</v>
      </c>
      <c r="G39" s="400"/>
      <c r="H39" s="400"/>
      <c r="I39" s="400"/>
      <c r="J39" s="400"/>
      <c r="K39" s="400"/>
      <c r="L39" s="400"/>
      <c r="M39" s="400"/>
      <c r="N39" s="400"/>
      <c r="O39" s="400"/>
      <c r="P39" s="400"/>
      <c r="Q39" s="400"/>
      <c r="R39" s="400"/>
      <c r="S39" s="400"/>
      <c r="T39" s="400"/>
      <c r="U39" s="400"/>
      <c r="V39" s="400"/>
      <c r="W39" s="400"/>
      <c r="X39" s="400"/>
      <c r="Y39" s="400"/>
      <c r="Z39" s="400"/>
    </row>
    <row r="40" ht="12.0" customHeight="1">
      <c r="A40" s="397">
        <f t="shared" si="12"/>
        <v>375001</v>
      </c>
      <c r="B40" s="397">
        <f t="shared" si="13"/>
        <v>375000</v>
      </c>
      <c r="C40" s="397">
        <v>725000.0</v>
      </c>
      <c r="D40" s="397">
        <f t="shared" si="14"/>
        <v>12935</v>
      </c>
      <c r="E40" s="399">
        <v>4.25</v>
      </c>
      <c r="F40" s="399">
        <v>100.0</v>
      </c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</row>
    <row r="41" ht="12.0" customHeight="1">
      <c r="A41" s="397">
        <f t="shared" si="12"/>
        <v>725001</v>
      </c>
      <c r="B41" s="397">
        <f t="shared" si="13"/>
        <v>725000</v>
      </c>
      <c r="C41" s="397"/>
      <c r="D41" s="397">
        <f t="shared" si="14"/>
        <v>27810</v>
      </c>
      <c r="E41" s="399">
        <v>4.5</v>
      </c>
      <c r="F41" s="399">
        <v>100.0</v>
      </c>
      <c r="G41" s="400"/>
      <c r="H41" s="400"/>
      <c r="I41" s="400"/>
      <c r="J41" s="400"/>
      <c r="K41" s="400"/>
      <c r="L41" s="400"/>
      <c r="M41" s="400"/>
      <c r="N41" s="400"/>
      <c r="O41" s="400"/>
      <c r="P41" s="400"/>
      <c r="Q41" s="400"/>
      <c r="R41" s="400"/>
      <c r="S41" s="400"/>
      <c r="T41" s="400"/>
      <c r="U41" s="400"/>
      <c r="V41" s="400"/>
      <c r="W41" s="400"/>
      <c r="X41" s="400"/>
      <c r="Y41" s="400"/>
      <c r="Z41" s="400"/>
    </row>
    <row r="42" ht="12.0" customHeight="1">
      <c r="A42" s="400"/>
      <c r="B42" s="400"/>
      <c r="C42" s="400"/>
      <c r="D42" s="400"/>
      <c r="E42" s="400"/>
      <c r="F42" s="400"/>
      <c r="G42" s="400"/>
      <c r="H42" s="400"/>
      <c r="I42" s="400"/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</row>
    <row r="43" ht="12.0" customHeight="1">
      <c r="A43" s="415" t="s">
        <v>202</v>
      </c>
      <c r="B43" s="182"/>
      <c r="C43" s="182"/>
      <c r="D43" s="182"/>
      <c r="E43" s="182"/>
      <c r="F43" s="390"/>
      <c r="G43" s="400"/>
      <c r="H43" s="400"/>
      <c r="I43" s="400"/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400"/>
      <c r="X43" s="400"/>
      <c r="Y43" s="400"/>
      <c r="Z43" s="400"/>
    </row>
    <row r="44" ht="20.25" customHeight="1">
      <c r="A44" s="416" t="s">
        <v>183</v>
      </c>
      <c r="B44" s="417" t="s">
        <v>184</v>
      </c>
      <c r="C44" s="416" t="s">
        <v>185</v>
      </c>
      <c r="D44" s="417" t="s">
        <v>186</v>
      </c>
      <c r="E44" s="417" t="s">
        <v>187</v>
      </c>
      <c r="F44" s="417" t="s">
        <v>188</v>
      </c>
      <c r="G44" s="400"/>
      <c r="H44" s="400"/>
      <c r="I44" s="400"/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400"/>
      <c r="X44" s="400"/>
      <c r="Y44" s="400"/>
      <c r="Z44" s="400"/>
    </row>
    <row r="45" ht="12.0" customHeight="1">
      <c r="A45" s="397">
        <v>0.0</v>
      </c>
      <c r="B45" s="397">
        <v>0.0</v>
      </c>
      <c r="C45" s="397">
        <v>12000.0</v>
      </c>
      <c r="D45" s="398">
        <v>0.0</v>
      </c>
      <c r="E45" s="399">
        <v>1.0</v>
      </c>
      <c r="F45" s="399">
        <v>100.0</v>
      </c>
      <c r="G45" s="400"/>
      <c r="H45" s="400"/>
      <c r="I45" s="400"/>
      <c r="J45" s="400"/>
      <c r="K45" s="400"/>
      <c r="L45" s="400"/>
      <c r="M45" s="400"/>
      <c r="N45" s="400"/>
      <c r="O45" s="400"/>
      <c r="P45" s="400"/>
      <c r="Q45" s="400"/>
      <c r="R45" s="400"/>
      <c r="S45" s="400"/>
      <c r="T45" s="400"/>
      <c r="U45" s="400"/>
      <c r="V45" s="400"/>
      <c r="W45" s="400"/>
      <c r="X45" s="400"/>
      <c r="Y45" s="400"/>
      <c r="Z45" s="400"/>
    </row>
    <row r="46" ht="12.0" customHeight="1">
      <c r="A46" s="397">
        <f t="shared" ref="A46:A53" si="15">B46+1</f>
        <v>12001</v>
      </c>
      <c r="B46" s="397">
        <f t="shared" ref="B46:B53" si="16">C45</f>
        <v>12000</v>
      </c>
      <c r="C46" s="397">
        <v>30000.0</v>
      </c>
      <c r="D46" s="397">
        <f>(E45*C45)/F45</f>
        <v>120</v>
      </c>
      <c r="E46" s="399">
        <v>2.0</v>
      </c>
      <c r="F46" s="399">
        <v>100.0</v>
      </c>
      <c r="G46" s="400"/>
      <c r="H46" s="400"/>
      <c r="I46" s="400"/>
      <c r="J46" s="400"/>
      <c r="K46" s="400"/>
      <c r="L46" s="400"/>
      <c r="M46" s="400"/>
      <c r="N46" s="400"/>
      <c r="O46" s="400"/>
      <c r="P46" s="400"/>
      <c r="Q46" s="400"/>
      <c r="R46" s="400"/>
      <c r="S46" s="400"/>
      <c r="T46" s="400"/>
      <c r="U46" s="400"/>
      <c r="V46" s="400"/>
      <c r="W46" s="400"/>
      <c r="X46" s="400"/>
      <c r="Y46" s="400"/>
      <c r="Z46" s="400"/>
    </row>
    <row r="47" ht="12.0" customHeight="1">
      <c r="A47" s="397">
        <f t="shared" si="15"/>
        <v>30001</v>
      </c>
      <c r="B47" s="397">
        <f t="shared" si="16"/>
        <v>30000</v>
      </c>
      <c r="C47" s="397">
        <v>50000.0</v>
      </c>
      <c r="D47" s="397">
        <f t="shared" ref="D47:D53" si="17">ROUNDUP(((C46-B46)*E46)/F46+D46,0)</f>
        <v>480</v>
      </c>
      <c r="E47" s="399">
        <v>3.0</v>
      </c>
      <c r="F47" s="399">
        <v>100.0</v>
      </c>
      <c r="G47" s="400"/>
      <c r="H47" s="400"/>
      <c r="I47" s="400"/>
      <c r="J47" s="400"/>
      <c r="K47" s="400"/>
      <c r="L47" s="400"/>
      <c r="M47" s="400"/>
      <c r="N47" s="400"/>
      <c r="O47" s="400"/>
      <c r="P47" s="400"/>
      <c r="Q47" s="400"/>
      <c r="R47" s="400"/>
      <c r="S47" s="400"/>
      <c r="T47" s="400"/>
      <c r="U47" s="400"/>
      <c r="V47" s="400"/>
      <c r="W47" s="400"/>
      <c r="X47" s="400"/>
      <c r="Y47" s="400"/>
      <c r="Z47" s="400"/>
    </row>
    <row r="48" ht="12.0" customHeight="1">
      <c r="A48" s="397">
        <f t="shared" si="15"/>
        <v>50001</v>
      </c>
      <c r="B48" s="397">
        <f t="shared" si="16"/>
        <v>50000</v>
      </c>
      <c r="C48" s="397">
        <v>100000.0</v>
      </c>
      <c r="D48" s="397">
        <f t="shared" si="17"/>
        <v>1080</v>
      </c>
      <c r="E48" s="399">
        <v>3.5</v>
      </c>
      <c r="F48" s="399">
        <v>100.0</v>
      </c>
      <c r="G48" s="400"/>
      <c r="H48" s="400"/>
      <c r="I48" s="400"/>
      <c r="J48" s="400"/>
      <c r="K48" s="400"/>
      <c r="L48" s="400"/>
      <c r="M48" s="400"/>
      <c r="N48" s="400"/>
      <c r="O48" s="400"/>
      <c r="P48" s="400"/>
      <c r="Q48" s="400"/>
      <c r="R48" s="400"/>
      <c r="S48" s="400"/>
      <c r="T48" s="400"/>
      <c r="U48" s="400"/>
      <c r="V48" s="400"/>
      <c r="W48" s="400"/>
      <c r="X48" s="400"/>
      <c r="Y48" s="400"/>
      <c r="Z48" s="400"/>
    </row>
    <row r="49" ht="12.0" customHeight="1">
      <c r="A49" s="397">
        <f t="shared" si="15"/>
        <v>100001</v>
      </c>
      <c r="B49" s="397">
        <f t="shared" si="16"/>
        <v>100000</v>
      </c>
      <c r="C49" s="397">
        <v>200000.0</v>
      </c>
      <c r="D49" s="397">
        <f t="shared" si="17"/>
        <v>2830</v>
      </c>
      <c r="E49" s="399">
        <v>4.0</v>
      </c>
      <c r="F49" s="399">
        <v>100.0</v>
      </c>
      <c r="G49" s="400"/>
      <c r="H49" s="400"/>
      <c r="I49" s="400"/>
      <c r="J49" s="400"/>
      <c r="K49" s="400"/>
      <c r="L49" s="400"/>
      <c r="M49" s="400"/>
      <c r="N49" s="400"/>
      <c r="O49" s="400"/>
      <c r="P49" s="400"/>
      <c r="Q49" s="400"/>
      <c r="R49" s="400"/>
      <c r="S49" s="400"/>
      <c r="T49" s="400"/>
      <c r="U49" s="400"/>
      <c r="V49" s="400"/>
      <c r="W49" s="400"/>
      <c r="X49" s="400"/>
      <c r="Y49" s="400"/>
      <c r="Z49" s="400"/>
    </row>
    <row r="50" ht="12.0" customHeight="1">
      <c r="A50" s="397">
        <f t="shared" si="15"/>
        <v>200001</v>
      </c>
      <c r="B50" s="397">
        <f t="shared" si="16"/>
        <v>200000</v>
      </c>
      <c r="C50" s="397">
        <v>250000.0</v>
      </c>
      <c r="D50" s="397">
        <f t="shared" si="17"/>
        <v>6830</v>
      </c>
      <c r="E50" s="399">
        <v>4.25</v>
      </c>
      <c r="F50" s="399">
        <v>100.0</v>
      </c>
      <c r="G50" s="400"/>
      <c r="H50" s="400"/>
      <c r="I50" s="400"/>
      <c r="J50" s="400"/>
      <c r="K50" s="400"/>
      <c r="L50" s="400"/>
      <c r="M50" s="400"/>
      <c r="N50" s="400"/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</row>
    <row r="51" ht="12.0" customHeight="1">
      <c r="A51" s="397">
        <f t="shared" si="15"/>
        <v>250001</v>
      </c>
      <c r="B51" s="397">
        <f t="shared" si="16"/>
        <v>250000</v>
      </c>
      <c r="C51" s="397">
        <v>300000.0</v>
      </c>
      <c r="D51" s="397">
        <f t="shared" si="17"/>
        <v>8955</v>
      </c>
      <c r="E51" s="399">
        <v>4.75</v>
      </c>
      <c r="F51" s="399">
        <v>100.0</v>
      </c>
      <c r="G51" s="400"/>
      <c r="H51" s="400"/>
      <c r="I51" s="400"/>
      <c r="J51" s="400"/>
      <c r="K51" s="400"/>
      <c r="L51" s="400"/>
      <c r="M51" s="400"/>
      <c r="N51" s="400"/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</row>
    <row r="52" ht="12.0" customHeight="1">
      <c r="A52" s="397">
        <f t="shared" si="15"/>
        <v>300001</v>
      </c>
      <c r="B52" s="397">
        <f t="shared" si="16"/>
        <v>300000</v>
      </c>
      <c r="C52" s="397">
        <v>500000.0</v>
      </c>
      <c r="D52" s="397">
        <f t="shared" si="17"/>
        <v>11330</v>
      </c>
      <c r="E52" s="399">
        <v>5.0</v>
      </c>
      <c r="F52" s="399">
        <v>100.0</v>
      </c>
      <c r="G52" s="400"/>
      <c r="H52" s="400"/>
      <c r="I52" s="400"/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</row>
    <row r="53" ht="12.0" customHeight="1">
      <c r="A53" s="397">
        <f t="shared" si="15"/>
        <v>500001</v>
      </c>
      <c r="B53" s="397">
        <f t="shared" si="16"/>
        <v>500000</v>
      </c>
      <c r="C53" s="397"/>
      <c r="D53" s="397">
        <f t="shared" si="17"/>
        <v>21330</v>
      </c>
      <c r="E53" s="399">
        <v>5.5</v>
      </c>
      <c r="F53" s="399">
        <v>100.0</v>
      </c>
      <c r="G53" s="400"/>
      <c r="H53" s="400"/>
      <c r="I53" s="400"/>
      <c r="J53" s="400"/>
      <c r="K53" s="400"/>
      <c r="L53" s="400"/>
      <c r="M53" s="400"/>
      <c r="N53" s="400"/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</row>
    <row r="54" ht="15.75" customHeight="1">
      <c r="A54" s="391"/>
      <c r="B54" s="391"/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  <c r="W54" s="391"/>
      <c r="X54" s="391"/>
      <c r="Y54" s="391"/>
      <c r="Z54" s="391"/>
    </row>
    <row r="55" ht="15.75" customHeight="1">
      <c r="A55" s="391"/>
      <c r="B55" s="391"/>
      <c r="C55" s="391"/>
      <c r="D55" s="391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</row>
    <row r="56" ht="15.75" customHeight="1">
      <c r="A56" s="391"/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</row>
    <row r="57" ht="15.75" customHeight="1">
      <c r="A57" s="391"/>
      <c r="B57" s="391"/>
      <c r="C57" s="391"/>
      <c r="D57" s="391"/>
      <c r="E57" s="391"/>
      <c r="F57" s="391"/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  <c r="X57" s="391"/>
      <c r="Y57" s="391"/>
      <c r="Z57" s="391"/>
    </row>
    <row r="58" ht="15.75" customHeight="1">
      <c r="A58" s="391"/>
      <c r="B58" s="391"/>
      <c r="C58" s="391"/>
      <c r="D58" s="391"/>
      <c r="E58" s="391"/>
      <c r="F58" s="391"/>
      <c r="G58" s="391"/>
      <c r="H58" s="391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  <c r="T58" s="391"/>
      <c r="U58" s="391"/>
      <c r="V58" s="391"/>
      <c r="W58" s="391"/>
      <c r="X58" s="391"/>
      <c r="Y58" s="391"/>
      <c r="Z58" s="391"/>
    </row>
    <row r="59" ht="15.75" customHeight="1">
      <c r="A59" s="391"/>
      <c r="B59" s="391"/>
      <c r="C59" s="391"/>
      <c r="D59" s="391"/>
      <c r="E59" s="391"/>
      <c r="F59" s="391"/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/>
      <c r="W59" s="391"/>
      <c r="X59" s="391"/>
      <c r="Y59" s="391"/>
      <c r="Z59" s="391"/>
    </row>
    <row r="60" ht="15.75" customHeight="1">
      <c r="A60" s="391"/>
      <c r="B60" s="391"/>
      <c r="C60" s="391"/>
      <c r="D60" s="391"/>
      <c r="E60" s="391"/>
      <c r="F60" s="391"/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391"/>
      <c r="X60" s="391"/>
      <c r="Y60" s="391"/>
      <c r="Z60" s="391"/>
    </row>
    <row r="61" ht="15.75" customHeight="1">
      <c r="A61" s="391"/>
      <c r="B61" s="391"/>
      <c r="C61" s="391"/>
      <c r="D61" s="391"/>
      <c r="E61" s="391"/>
      <c r="F61" s="391"/>
      <c r="G61" s="391"/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/>
      <c r="W61" s="391"/>
      <c r="X61" s="391"/>
      <c r="Y61" s="391"/>
      <c r="Z61" s="391"/>
    </row>
    <row r="62" ht="15.75" customHeight="1">
      <c r="A62" s="391"/>
      <c r="B62" s="391"/>
      <c r="C62" s="391"/>
      <c r="D62" s="391"/>
      <c r="E62" s="391"/>
      <c r="F62" s="391"/>
      <c r="G62" s="391"/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/>
      <c r="W62" s="391"/>
      <c r="X62" s="391"/>
      <c r="Y62" s="391"/>
      <c r="Z62" s="391"/>
    </row>
    <row r="63" ht="15.75" customHeight="1">
      <c r="A63" s="391"/>
      <c r="B63" s="391"/>
      <c r="C63" s="391"/>
      <c r="D63" s="391"/>
      <c r="E63" s="391"/>
      <c r="F63" s="391"/>
      <c r="G63" s="391"/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/>
      <c r="W63" s="391"/>
      <c r="X63" s="391"/>
      <c r="Y63" s="391"/>
      <c r="Z63" s="391"/>
    </row>
    <row r="64" ht="15.75" customHeight="1">
      <c r="A64" s="391"/>
      <c r="B64" s="391"/>
      <c r="C64" s="391"/>
      <c r="D64" s="391"/>
      <c r="E64" s="391"/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  <c r="W64" s="391"/>
      <c r="X64" s="391"/>
      <c r="Y64" s="391"/>
      <c r="Z64" s="391"/>
    </row>
    <row r="65" ht="15.75" customHeight="1">
      <c r="A65" s="391"/>
      <c r="B65" s="391"/>
      <c r="C65" s="391"/>
      <c r="D65" s="391"/>
      <c r="E65" s="391"/>
      <c r="F65" s="391"/>
      <c r="G65" s="391"/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/>
      <c r="W65" s="391"/>
      <c r="X65" s="391"/>
      <c r="Y65" s="391"/>
      <c r="Z65" s="391"/>
    </row>
    <row r="66" ht="15.75" customHeight="1">
      <c r="A66" s="391"/>
      <c r="B66" s="391"/>
      <c r="C66" s="391"/>
      <c r="D66" s="391"/>
      <c r="E66" s="391"/>
      <c r="F66" s="391"/>
      <c r="G66" s="391"/>
      <c r="H66" s="391"/>
      <c r="I66" s="391"/>
      <c r="J66" s="391"/>
      <c r="K66" s="391"/>
      <c r="L66" s="391"/>
      <c r="M66" s="391"/>
      <c r="N66" s="391"/>
      <c r="O66" s="391"/>
      <c r="P66" s="391"/>
      <c r="Q66" s="391"/>
      <c r="R66" s="391"/>
      <c r="S66" s="391"/>
      <c r="T66" s="391"/>
      <c r="U66" s="391"/>
      <c r="V66" s="391"/>
      <c r="W66" s="391"/>
      <c r="X66" s="391"/>
      <c r="Y66" s="391"/>
      <c r="Z66" s="391"/>
    </row>
    <row r="67" ht="15.75" customHeight="1">
      <c r="A67" s="391"/>
      <c r="B67" s="391"/>
      <c r="C67" s="391"/>
      <c r="D67" s="391"/>
      <c r="E67" s="391"/>
      <c r="F67" s="391"/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  <c r="W67" s="391"/>
      <c r="X67" s="391"/>
      <c r="Y67" s="391"/>
      <c r="Z67" s="391"/>
    </row>
    <row r="68" ht="15.75" customHeight="1">
      <c r="A68" s="391"/>
      <c r="B68" s="391"/>
      <c r="C68" s="391"/>
      <c r="D68" s="391"/>
      <c r="E68" s="391"/>
      <c r="F68" s="391"/>
      <c r="G68" s="391"/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1"/>
      <c r="W68" s="391"/>
      <c r="X68" s="391"/>
      <c r="Y68" s="391"/>
      <c r="Z68" s="391"/>
    </row>
    <row r="69" ht="15.75" customHeight="1">
      <c r="A69" s="391"/>
      <c r="B69" s="391"/>
      <c r="C69" s="391"/>
      <c r="D69" s="391"/>
      <c r="E69" s="391"/>
      <c r="F69" s="391"/>
      <c r="G69" s="391"/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/>
      <c r="W69" s="391"/>
      <c r="X69" s="391"/>
      <c r="Y69" s="391"/>
      <c r="Z69" s="391"/>
    </row>
    <row r="70" ht="15.75" customHeight="1">
      <c r="A70" s="391"/>
      <c r="B70" s="391"/>
      <c r="C70" s="391"/>
      <c r="D70" s="391"/>
      <c r="E70" s="391"/>
      <c r="F70" s="391"/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  <c r="W70" s="391"/>
      <c r="X70" s="391"/>
      <c r="Y70" s="391"/>
      <c r="Z70" s="391"/>
    </row>
    <row r="71" ht="15.75" customHeight="1">
      <c r="A71" s="391"/>
      <c r="B71" s="391"/>
      <c r="C71" s="391"/>
      <c r="D71" s="391"/>
      <c r="E71" s="391"/>
      <c r="F71" s="391"/>
      <c r="G71" s="391"/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/>
      <c r="W71" s="391"/>
      <c r="X71" s="391"/>
      <c r="Y71" s="391"/>
      <c r="Z71" s="391"/>
    </row>
    <row r="72" ht="15.75" customHeight="1">
      <c r="A72" s="391"/>
      <c r="B72" s="391"/>
      <c r="C72" s="391"/>
      <c r="D72" s="391"/>
      <c r="E72" s="391"/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  <c r="X72" s="391"/>
      <c r="Y72" s="391"/>
      <c r="Z72" s="391"/>
    </row>
    <row r="73" ht="15.75" customHeight="1">
      <c r="A73" s="391"/>
      <c r="B73" s="391"/>
      <c r="C73" s="391"/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</row>
    <row r="74" ht="15.75" customHeight="1">
      <c r="A74" s="391"/>
      <c r="B74" s="391"/>
      <c r="C74" s="391"/>
      <c r="D74" s="391"/>
      <c r="E74" s="391"/>
      <c r="F74" s="391"/>
      <c r="G74" s="391"/>
      <c r="H74" s="391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  <c r="T74" s="391"/>
      <c r="U74" s="391"/>
      <c r="V74" s="391"/>
      <c r="W74" s="391"/>
      <c r="X74" s="391"/>
      <c r="Y74" s="391"/>
      <c r="Z74" s="391"/>
    </row>
    <row r="75" ht="15.75" customHeight="1">
      <c r="A75" s="391"/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/>
      <c r="W75" s="391"/>
      <c r="X75" s="391"/>
      <c r="Y75" s="391"/>
      <c r="Z75" s="391"/>
    </row>
    <row r="76" ht="15.75" customHeight="1">
      <c r="A76" s="391"/>
      <c r="B76" s="391"/>
      <c r="C76" s="391"/>
      <c r="D76" s="391"/>
      <c r="E76" s="391"/>
      <c r="F76" s="391"/>
      <c r="G76" s="391"/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/>
      <c r="W76" s="391"/>
      <c r="X76" s="391"/>
      <c r="Y76" s="391"/>
      <c r="Z76" s="391"/>
    </row>
    <row r="77" ht="15.75" customHeight="1">
      <c r="A77" s="391"/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/>
      <c r="W77" s="391"/>
      <c r="X77" s="391"/>
      <c r="Y77" s="391"/>
      <c r="Z77" s="391"/>
    </row>
    <row r="78" ht="15.75" customHeight="1">
      <c r="A78" s="391"/>
      <c r="B78" s="391"/>
      <c r="C78" s="391"/>
      <c r="D78" s="391"/>
      <c r="E78" s="391"/>
      <c r="F78" s="391"/>
      <c r="G78" s="391"/>
      <c r="H78" s="391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/>
      <c r="W78" s="391"/>
      <c r="X78" s="391"/>
      <c r="Y78" s="391"/>
      <c r="Z78" s="391"/>
    </row>
    <row r="79" ht="15.75" customHeight="1">
      <c r="A79" s="391"/>
      <c r="B79" s="391"/>
      <c r="C79" s="391"/>
      <c r="D79" s="391"/>
      <c r="E79" s="391"/>
      <c r="F79" s="391"/>
      <c r="G79" s="391"/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/>
      <c r="W79" s="391"/>
      <c r="X79" s="391"/>
      <c r="Y79" s="391"/>
      <c r="Z79" s="391"/>
    </row>
    <row r="80" ht="15.75" customHeight="1">
      <c r="A80" s="391"/>
      <c r="B80" s="391"/>
      <c r="C80" s="391"/>
      <c r="D80" s="391"/>
      <c r="E80" s="391"/>
      <c r="F80" s="391"/>
      <c r="G80" s="391"/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/>
      <c r="W80" s="391"/>
      <c r="X80" s="391"/>
      <c r="Y80" s="391"/>
      <c r="Z80" s="391"/>
    </row>
    <row r="81" ht="15.75" customHeight="1">
      <c r="A81" s="391"/>
      <c r="B81" s="391"/>
      <c r="C81" s="391"/>
      <c r="D81" s="391"/>
      <c r="E81" s="391"/>
      <c r="F81" s="391"/>
      <c r="G81" s="391"/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/>
      <c r="W81" s="391"/>
      <c r="X81" s="391"/>
      <c r="Y81" s="391"/>
      <c r="Z81" s="391"/>
    </row>
    <row r="82" ht="15.75" customHeight="1">
      <c r="A82" s="391"/>
      <c r="B82" s="391"/>
      <c r="C82" s="391"/>
      <c r="D82" s="391"/>
      <c r="E82" s="391"/>
      <c r="F82" s="391"/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/>
      <c r="W82" s="391"/>
      <c r="X82" s="391"/>
      <c r="Y82" s="391"/>
      <c r="Z82" s="391"/>
    </row>
    <row r="83" ht="15.75" customHeight="1">
      <c r="A83" s="391"/>
      <c r="B83" s="391"/>
      <c r="C83" s="391"/>
      <c r="D83" s="391"/>
      <c r="E83" s="391"/>
      <c r="F83" s="391"/>
      <c r="G83" s="391"/>
      <c r="H83" s="391"/>
      <c r="I83" s="391"/>
      <c r="J83" s="391"/>
      <c r="K83" s="391"/>
      <c r="L83" s="391"/>
      <c r="M83" s="391"/>
      <c r="N83" s="391"/>
      <c r="O83" s="391"/>
      <c r="P83" s="391"/>
      <c r="Q83" s="391"/>
      <c r="R83" s="391"/>
      <c r="S83" s="391"/>
      <c r="T83" s="391"/>
      <c r="U83" s="391"/>
      <c r="V83" s="391"/>
      <c r="W83" s="391"/>
      <c r="X83" s="391"/>
      <c r="Y83" s="391"/>
      <c r="Z83" s="391"/>
    </row>
    <row r="84" ht="15.75" customHeight="1">
      <c r="A84" s="391"/>
      <c r="B84" s="391"/>
      <c r="C84" s="391"/>
      <c r="D84" s="391"/>
      <c r="E84" s="391"/>
      <c r="F84" s="391"/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  <c r="W84" s="391"/>
      <c r="X84" s="391"/>
      <c r="Y84" s="391"/>
      <c r="Z84" s="391"/>
    </row>
    <row r="85" ht="15.75" customHeight="1">
      <c r="A85" s="391"/>
      <c r="B85" s="391"/>
      <c r="C85" s="391"/>
      <c r="D85" s="391"/>
      <c r="E85" s="391"/>
      <c r="F85" s="391"/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  <c r="X85" s="391"/>
      <c r="Y85" s="391"/>
      <c r="Z85" s="391"/>
    </row>
    <row r="86" ht="15.75" customHeight="1">
      <c r="A86" s="391"/>
      <c r="B86" s="391"/>
      <c r="C86" s="391"/>
      <c r="D86" s="391"/>
      <c r="E86" s="391"/>
      <c r="F86" s="391"/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  <c r="T86" s="391"/>
      <c r="U86" s="391"/>
      <c r="V86" s="391"/>
      <c r="W86" s="391"/>
      <c r="X86" s="391"/>
      <c r="Y86" s="391"/>
      <c r="Z86" s="391"/>
    </row>
    <row r="87" ht="15.75" customHeight="1">
      <c r="A87" s="391"/>
      <c r="B87" s="391"/>
      <c r="C87" s="391"/>
      <c r="D87" s="391"/>
      <c r="E87" s="391"/>
      <c r="F87" s="391"/>
      <c r="G87" s="391"/>
      <c r="H87" s="391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  <c r="T87" s="391"/>
      <c r="U87" s="391"/>
      <c r="V87" s="391"/>
      <c r="W87" s="391"/>
      <c r="X87" s="391"/>
      <c r="Y87" s="391"/>
      <c r="Z87" s="391"/>
    </row>
    <row r="88" ht="15.75" customHeight="1">
      <c r="A88" s="391"/>
      <c r="B88" s="391"/>
      <c r="C88" s="391"/>
      <c r="D88" s="391"/>
      <c r="E88" s="391"/>
      <c r="F88" s="391"/>
      <c r="G88" s="391"/>
      <c r="H88" s="391"/>
      <c r="I88" s="391"/>
      <c r="J88" s="391"/>
      <c r="K88" s="391"/>
      <c r="L88" s="391"/>
      <c r="M88" s="391"/>
      <c r="N88" s="391"/>
      <c r="O88" s="391"/>
      <c r="P88" s="391"/>
      <c r="Q88" s="391"/>
      <c r="R88" s="391"/>
      <c r="S88" s="391"/>
      <c r="T88" s="391"/>
      <c r="U88" s="391"/>
      <c r="V88" s="391"/>
      <c r="W88" s="391"/>
      <c r="X88" s="391"/>
      <c r="Y88" s="391"/>
      <c r="Z88" s="391"/>
    </row>
    <row r="89" ht="15.75" customHeight="1">
      <c r="A89" s="391"/>
      <c r="B89" s="391"/>
      <c r="C89" s="391"/>
      <c r="D89" s="391"/>
      <c r="E89" s="391"/>
      <c r="F89" s="391"/>
      <c r="G89" s="391"/>
      <c r="H89" s="391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  <c r="T89" s="391"/>
      <c r="U89" s="391"/>
      <c r="V89" s="391"/>
      <c r="W89" s="391"/>
      <c r="X89" s="391"/>
      <c r="Y89" s="391"/>
      <c r="Z89" s="391"/>
    </row>
    <row r="90" ht="15.75" customHeight="1">
      <c r="A90" s="391"/>
      <c r="B90" s="391"/>
      <c r="C90" s="391"/>
      <c r="D90" s="391"/>
      <c r="E90" s="391"/>
      <c r="F90" s="391"/>
      <c r="G90" s="391"/>
      <c r="H90" s="391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/>
      <c r="W90" s="391"/>
      <c r="X90" s="391"/>
      <c r="Y90" s="391"/>
      <c r="Z90" s="391"/>
    </row>
    <row r="91" ht="15.75" customHeight="1">
      <c r="A91" s="391"/>
      <c r="B91" s="391"/>
      <c r="C91" s="391"/>
      <c r="D91" s="391"/>
      <c r="E91" s="391"/>
      <c r="F91" s="391"/>
      <c r="G91" s="391"/>
      <c r="H91" s="391"/>
      <c r="I91" s="391"/>
      <c r="J91" s="391"/>
      <c r="K91" s="391"/>
      <c r="L91" s="391"/>
      <c r="M91" s="391"/>
      <c r="N91" s="391"/>
      <c r="O91" s="391"/>
      <c r="P91" s="391"/>
      <c r="Q91" s="391"/>
      <c r="R91" s="391"/>
      <c r="S91" s="391"/>
      <c r="T91" s="391"/>
      <c r="U91" s="391"/>
      <c r="V91" s="391"/>
      <c r="W91" s="391"/>
      <c r="X91" s="391"/>
      <c r="Y91" s="391"/>
      <c r="Z91" s="391"/>
    </row>
    <row r="92" ht="15.75" customHeight="1">
      <c r="A92" s="391"/>
      <c r="B92" s="391"/>
      <c r="C92" s="391"/>
      <c r="D92" s="391"/>
      <c r="E92" s="391"/>
      <c r="F92" s="391"/>
      <c r="G92" s="391"/>
      <c r="H92" s="391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  <c r="T92" s="391"/>
      <c r="U92" s="391"/>
      <c r="V92" s="391"/>
      <c r="W92" s="391"/>
      <c r="X92" s="391"/>
      <c r="Y92" s="391"/>
      <c r="Z92" s="391"/>
    </row>
    <row r="93" ht="15.75" customHeight="1">
      <c r="A93" s="391"/>
      <c r="B93" s="391"/>
      <c r="C93" s="391"/>
      <c r="D93" s="391"/>
      <c r="E93" s="391"/>
      <c r="F93" s="391"/>
      <c r="G93" s="391"/>
      <c r="H93" s="391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  <c r="T93" s="391"/>
      <c r="U93" s="391"/>
      <c r="V93" s="391"/>
      <c r="W93" s="391"/>
      <c r="X93" s="391"/>
      <c r="Y93" s="391"/>
      <c r="Z93" s="391"/>
    </row>
    <row r="94" ht="15.75" customHeight="1">
      <c r="A94" s="391"/>
      <c r="B94" s="391"/>
      <c r="C94" s="391"/>
      <c r="D94" s="391"/>
      <c r="E94" s="391"/>
      <c r="F94" s="391"/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/>
      <c r="W94" s="391"/>
      <c r="X94" s="391"/>
      <c r="Y94" s="391"/>
      <c r="Z94" s="391"/>
    </row>
    <row r="95" ht="15.75" customHeight="1">
      <c r="A95" s="391"/>
      <c r="B95" s="391"/>
      <c r="C95" s="391"/>
      <c r="D95" s="391"/>
      <c r="E95" s="391"/>
      <c r="F95" s="391"/>
      <c r="G95" s="391"/>
      <c r="H95" s="391"/>
      <c r="I95" s="391"/>
      <c r="J95" s="391"/>
      <c r="K95" s="391"/>
      <c r="L95" s="391"/>
      <c r="M95" s="391"/>
      <c r="N95" s="391"/>
      <c r="O95" s="391"/>
      <c r="P95" s="391"/>
      <c r="Q95" s="391"/>
      <c r="R95" s="391"/>
      <c r="S95" s="391"/>
      <c r="T95" s="391"/>
      <c r="U95" s="391"/>
      <c r="V95" s="391"/>
      <c r="W95" s="391"/>
      <c r="X95" s="391"/>
      <c r="Y95" s="391"/>
      <c r="Z95" s="391"/>
    </row>
    <row r="96" ht="15.75" customHeight="1">
      <c r="A96" s="391"/>
      <c r="B96" s="391"/>
      <c r="C96" s="391"/>
      <c r="D96" s="391"/>
      <c r="E96" s="391"/>
      <c r="F96" s="391"/>
      <c r="G96" s="391"/>
      <c r="H96" s="391"/>
      <c r="I96" s="391"/>
      <c r="J96" s="391"/>
      <c r="K96" s="391"/>
      <c r="L96" s="391"/>
      <c r="M96" s="391"/>
      <c r="N96" s="391"/>
      <c r="O96" s="391"/>
      <c r="P96" s="391"/>
      <c r="Q96" s="391"/>
      <c r="R96" s="391"/>
      <c r="S96" s="391"/>
      <c r="T96" s="391"/>
      <c r="U96" s="391"/>
      <c r="V96" s="391"/>
      <c r="W96" s="391"/>
      <c r="X96" s="391"/>
      <c r="Y96" s="391"/>
      <c r="Z96" s="391"/>
    </row>
    <row r="97" ht="15.75" customHeight="1">
      <c r="A97" s="391"/>
      <c r="B97" s="391"/>
      <c r="C97" s="391"/>
      <c r="D97" s="391"/>
      <c r="E97" s="391"/>
      <c r="F97" s="391"/>
      <c r="G97" s="391"/>
      <c r="H97" s="391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  <c r="T97" s="391"/>
      <c r="U97" s="391"/>
      <c r="V97" s="391"/>
      <c r="W97" s="391"/>
      <c r="X97" s="391"/>
      <c r="Y97" s="391"/>
      <c r="Z97" s="391"/>
    </row>
    <row r="98" ht="15.75" customHeight="1">
      <c r="A98" s="391"/>
      <c r="B98" s="391"/>
      <c r="C98" s="391"/>
      <c r="D98" s="391"/>
      <c r="E98" s="391"/>
      <c r="F98" s="391"/>
      <c r="G98" s="391"/>
      <c r="H98" s="391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  <c r="T98" s="391"/>
      <c r="U98" s="391"/>
      <c r="V98" s="391"/>
      <c r="W98" s="391"/>
      <c r="X98" s="391"/>
      <c r="Y98" s="391"/>
      <c r="Z98" s="391"/>
    </row>
    <row r="99" ht="15.75" customHeight="1">
      <c r="A99" s="391"/>
      <c r="B99" s="391"/>
      <c r="C99" s="391"/>
      <c r="D99" s="391"/>
      <c r="E99" s="391"/>
      <c r="F99" s="391"/>
      <c r="G99" s="391"/>
      <c r="H99" s="391"/>
      <c r="I99" s="391"/>
      <c r="J99" s="391"/>
      <c r="K99" s="391"/>
      <c r="L99" s="391"/>
      <c r="M99" s="391"/>
      <c r="N99" s="391"/>
      <c r="O99" s="391"/>
      <c r="P99" s="391"/>
      <c r="Q99" s="391"/>
      <c r="R99" s="391"/>
      <c r="S99" s="391"/>
      <c r="T99" s="391"/>
      <c r="U99" s="391"/>
      <c r="V99" s="391"/>
      <c r="W99" s="391"/>
      <c r="X99" s="391"/>
      <c r="Y99" s="391"/>
      <c r="Z99" s="391"/>
    </row>
    <row r="100" ht="15.75" customHeight="1">
      <c r="A100" s="391"/>
      <c r="B100" s="391"/>
      <c r="C100" s="391"/>
      <c r="D100" s="391"/>
      <c r="E100" s="391"/>
      <c r="F100" s="391"/>
      <c r="G100" s="391"/>
      <c r="H100" s="391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/>
      <c r="T100" s="391"/>
      <c r="U100" s="391"/>
      <c r="V100" s="391"/>
      <c r="W100" s="391"/>
      <c r="X100" s="391"/>
      <c r="Y100" s="391"/>
      <c r="Z100" s="391"/>
    </row>
    <row r="101" ht="15.75" customHeight="1">
      <c r="A101" s="391"/>
      <c r="B101" s="391"/>
      <c r="C101" s="391"/>
      <c r="D101" s="391"/>
      <c r="E101" s="391"/>
      <c r="F101" s="391"/>
      <c r="G101" s="391"/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/>
      <c r="W101" s="391"/>
      <c r="X101" s="391"/>
      <c r="Y101" s="391"/>
      <c r="Z101" s="391"/>
    </row>
    <row r="102" ht="15.75" customHeight="1">
      <c r="A102" s="391"/>
      <c r="B102" s="391"/>
      <c r="C102" s="391"/>
      <c r="D102" s="391"/>
      <c r="E102" s="391"/>
      <c r="F102" s="391"/>
      <c r="G102" s="391"/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/>
      <c r="W102" s="391"/>
      <c r="X102" s="391"/>
      <c r="Y102" s="391"/>
      <c r="Z102" s="391"/>
    </row>
    <row r="103" ht="15.75" customHeight="1">
      <c r="A103" s="391"/>
      <c r="B103" s="391"/>
      <c r="C103" s="391"/>
      <c r="D103" s="391"/>
      <c r="E103" s="391"/>
      <c r="F103" s="391"/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/>
      <c r="W103" s="391"/>
      <c r="X103" s="391"/>
      <c r="Y103" s="391"/>
      <c r="Z103" s="391"/>
    </row>
    <row r="104" ht="15.75" customHeight="1">
      <c r="A104" s="391"/>
      <c r="B104" s="391"/>
      <c r="C104" s="391"/>
      <c r="D104" s="391"/>
      <c r="E104" s="391"/>
      <c r="F104" s="391"/>
      <c r="G104" s="391"/>
      <c r="H104" s="391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  <c r="W104" s="391"/>
      <c r="X104" s="391"/>
      <c r="Y104" s="391"/>
      <c r="Z104" s="391"/>
    </row>
    <row r="105" ht="15.75" customHeight="1">
      <c r="A105" s="391"/>
      <c r="B105" s="391"/>
      <c r="C105" s="391"/>
      <c r="D105" s="391"/>
      <c r="E105" s="391"/>
      <c r="F105" s="391"/>
      <c r="G105" s="391"/>
      <c r="H105" s="391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  <c r="T105" s="391"/>
      <c r="U105" s="391"/>
      <c r="V105" s="391"/>
      <c r="W105" s="391"/>
      <c r="X105" s="391"/>
      <c r="Y105" s="391"/>
      <c r="Z105" s="391"/>
    </row>
    <row r="106" ht="15.75" customHeight="1">
      <c r="A106" s="391"/>
      <c r="B106" s="391"/>
      <c r="C106" s="391"/>
      <c r="D106" s="391"/>
      <c r="E106" s="391"/>
      <c r="F106" s="391"/>
      <c r="G106" s="391"/>
      <c r="H106" s="391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  <c r="T106" s="391"/>
      <c r="U106" s="391"/>
      <c r="V106" s="391"/>
      <c r="W106" s="391"/>
      <c r="X106" s="391"/>
      <c r="Y106" s="391"/>
      <c r="Z106" s="391"/>
    </row>
    <row r="107" ht="15.75" customHeight="1">
      <c r="A107" s="391"/>
      <c r="B107" s="391"/>
      <c r="C107" s="391"/>
      <c r="D107" s="391"/>
      <c r="E107" s="391"/>
      <c r="F107" s="391"/>
      <c r="G107" s="391"/>
      <c r="H107" s="391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  <c r="T107" s="391"/>
      <c r="U107" s="391"/>
      <c r="V107" s="391"/>
      <c r="W107" s="391"/>
      <c r="X107" s="391"/>
      <c r="Y107" s="391"/>
      <c r="Z107" s="391"/>
    </row>
    <row r="108" ht="15.75" customHeight="1">
      <c r="A108" s="391"/>
      <c r="B108" s="391"/>
      <c r="C108" s="391"/>
      <c r="D108" s="391"/>
      <c r="E108" s="391"/>
      <c r="F108" s="391"/>
      <c r="G108" s="391"/>
      <c r="H108" s="391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  <c r="T108" s="391"/>
      <c r="U108" s="391"/>
      <c r="V108" s="391"/>
      <c r="W108" s="391"/>
      <c r="X108" s="391"/>
      <c r="Y108" s="391"/>
      <c r="Z108" s="391"/>
    </row>
    <row r="109" ht="15.75" customHeight="1">
      <c r="A109" s="391"/>
      <c r="B109" s="391"/>
      <c r="C109" s="391"/>
      <c r="D109" s="391"/>
      <c r="E109" s="391"/>
      <c r="F109" s="391"/>
      <c r="G109" s="391"/>
      <c r="H109" s="391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  <c r="T109" s="391"/>
      <c r="U109" s="391"/>
      <c r="V109" s="391"/>
      <c r="W109" s="391"/>
      <c r="X109" s="391"/>
      <c r="Y109" s="391"/>
      <c r="Z109" s="391"/>
    </row>
    <row r="110" ht="15.75" customHeight="1">
      <c r="A110" s="391"/>
      <c r="B110" s="391"/>
      <c r="C110" s="391"/>
      <c r="D110" s="391"/>
      <c r="E110" s="391"/>
      <c r="F110" s="391"/>
      <c r="G110" s="391"/>
      <c r="H110" s="391"/>
      <c r="I110" s="391"/>
      <c r="J110" s="391"/>
      <c r="K110" s="391"/>
      <c r="L110" s="391"/>
      <c r="M110" s="391"/>
      <c r="N110" s="391"/>
      <c r="O110" s="391"/>
      <c r="P110" s="391"/>
      <c r="Q110" s="391"/>
      <c r="R110" s="391"/>
      <c r="S110" s="391"/>
      <c r="T110" s="391"/>
      <c r="U110" s="391"/>
      <c r="V110" s="391"/>
      <c r="W110" s="391"/>
      <c r="X110" s="391"/>
      <c r="Y110" s="391"/>
      <c r="Z110" s="391"/>
    </row>
    <row r="111" ht="15.75" customHeight="1">
      <c r="A111" s="391"/>
      <c r="B111" s="391"/>
      <c r="C111" s="391"/>
      <c r="D111" s="391"/>
      <c r="E111" s="391"/>
      <c r="F111" s="391"/>
      <c r="G111" s="391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  <c r="T111" s="391"/>
      <c r="U111" s="391"/>
      <c r="V111" s="391"/>
      <c r="W111" s="391"/>
      <c r="X111" s="391"/>
      <c r="Y111" s="391"/>
      <c r="Z111" s="391"/>
    </row>
    <row r="112" ht="15.75" customHeight="1">
      <c r="A112" s="391"/>
      <c r="B112" s="391"/>
      <c r="C112" s="391"/>
      <c r="D112" s="391"/>
      <c r="E112" s="391"/>
      <c r="F112" s="391"/>
      <c r="G112" s="391"/>
      <c r="H112" s="391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  <c r="S112" s="391"/>
      <c r="T112" s="391"/>
      <c r="U112" s="391"/>
      <c r="V112" s="391"/>
      <c r="W112" s="391"/>
      <c r="X112" s="391"/>
      <c r="Y112" s="391"/>
      <c r="Z112" s="391"/>
    </row>
    <row r="113" ht="15.75" customHeight="1">
      <c r="A113" s="391"/>
      <c r="B113" s="391"/>
      <c r="C113" s="391"/>
      <c r="D113" s="391"/>
      <c r="E113" s="391"/>
      <c r="F113" s="391"/>
      <c r="G113" s="391"/>
      <c r="H113" s="391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  <c r="T113" s="391"/>
      <c r="U113" s="391"/>
      <c r="V113" s="391"/>
      <c r="W113" s="391"/>
      <c r="X113" s="391"/>
      <c r="Y113" s="391"/>
      <c r="Z113" s="391"/>
    </row>
    <row r="114" ht="15.75" customHeight="1">
      <c r="A114" s="391"/>
      <c r="B114" s="391"/>
      <c r="C114" s="391"/>
      <c r="D114" s="391"/>
      <c r="E114" s="391"/>
      <c r="F114" s="391"/>
      <c r="G114" s="391"/>
      <c r="H114" s="391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  <c r="T114" s="391"/>
      <c r="U114" s="391"/>
      <c r="V114" s="391"/>
      <c r="W114" s="391"/>
      <c r="X114" s="391"/>
      <c r="Y114" s="391"/>
      <c r="Z114" s="391"/>
    </row>
    <row r="115" ht="15.75" customHeight="1">
      <c r="A115" s="391"/>
      <c r="B115" s="391"/>
      <c r="C115" s="391"/>
      <c r="D115" s="391"/>
      <c r="E115" s="391"/>
      <c r="F115" s="391"/>
      <c r="G115" s="391"/>
      <c r="H115" s="391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  <c r="T115" s="391"/>
      <c r="U115" s="391"/>
      <c r="V115" s="391"/>
      <c r="W115" s="391"/>
      <c r="X115" s="391"/>
      <c r="Y115" s="391"/>
      <c r="Z115" s="391"/>
    </row>
    <row r="116" ht="15.75" customHeight="1">
      <c r="A116" s="391"/>
      <c r="B116" s="391"/>
      <c r="C116" s="391"/>
      <c r="D116" s="391"/>
      <c r="E116" s="391"/>
      <c r="F116" s="391"/>
      <c r="G116" s="391"/>
      <c r="H116" s="391"/>
      <c r="I116" s="391"/>
      <c r="J116" s="391"/>
      <c r="K116" s="391"/>
      <c r="L116" s="391"/>
      <c r="M116" s="391"/>
      <c r="N116" s="391"/>
      <c r="O116" s="391"/>
      <c r="P116" s="391"/>
      <c r="Q116" s="391"/>
      <c r="R116" s="391"/>
      <c r="S116" s="391"/>
      <c r="T116" s="391"/>
      <c r="U116" s="391"/>
      <c r="V116" s="391"/>
      <c r="W116" s="391"/>
      <c r="X116" s="391"/>
      <c r="Y116" s="391"/>
      <c r="Z116" s="391"/>
    </row>
    <row r="117" ht="15.75" customHeight="1">
      <c r="A117" s="391"/>
      <c r="B117" s="391"/>
      <c r="C117" s="391"/>
      <c r="D117" s="391"/>
      <c r="E117" s="391"/>
      <c r="F117" s="391"/>
      <c r="G117" s="391"/>
      <c r="H117" s="391"/>
      <c r="I117" s="391"/>
      <c r="J117" s="391"/>
      <c r="K117" s="391"/>
      <c r="L117" s="391"/>
      <c r="M117" s="391"/>
      <c r="N117" s="391"/>
      <c r="O117" s="391"/>
      <c r="P117" s="391"/>
      <c r="Q117" s="391"/>
      <c r="R117" s="391"/>
      <c r="S117" s="391"/>
      <c r="T117" s="391"/>
      <c r="U117" s="391"/>
      <c r="V117" s="391"/>
      <c r="W117" s="391"/>
      <c r="X117" s="391"/>
      <c r="Y117" s="391"/>
      <c r="Z117" s="391"/>
    </row>
    <row r="118" ht="15.75" customHeight="1">
      <c r="A118" s="391"/>
      <c r="B118" s="391"/>
      <c r="C118" s="391"/>
      <c r="D118" s="391"/>
      <c r="E118" s="391"/>
      <c r="F118" s="391"/>
      <c r="G118" s="391"/>
      <c r="H118" s="391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  <c r="T118" s="391"/>
      <c r="U118" s="391"/>
      <c r="V118" s="391"/>
      <c r="W118" s="391"/>
      <c r="X118" s="391"/>
      <c r="Y118" s="391"/>
      <c r="Z118" s="391"/>
    </row>
    <row r="119" ht="15.75" customHeight="1">
      <c r="A119" s="391"/>
      <c r="B119" s="391"/>
      <c r="C119" s="391"/>
      <c r="D119" s="391"/>
      <c r="E119" s="391"/>
      <c r="F119" s="391"/>
      <c r="G119" s="391"/>
      <c r="H119" s="391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  <c r="T119" s="391"/>
      <c r="U119" s="391"/>
      <c r="V119" s="391"/>
      <c r="W119" s="391"/>
      <c r="X119" s="391"/>
      <c r="Y119" s="391"/>
      <c r="Z119" s="391"/>
    </row>
    <row r="120" ht="15.75" customHeight="1">
      <c r="A120" s="391"/>
      <c r="B120" s="391"/>
      <c r="C120" s="391"/>
      <c r="D120" s="391"/>
      <c r="E120" s="391"/>
      <c r="F120" s="391"/>
      <c r="G120" s="391"/>
      <c r="H120" s="391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  <c r="T120" s="391"/>
      <c r="U120" s="391"/>
      <c r="V120" s="391"/>
      <c r="W120" s="391"/>
      <c r="X120" s="391"/>
      <c r="Y120" s="391"/>
      <c r="Z120" s="391"/>
    </row>
    <row r="121" ht="15.75" customHeight="1">
      <c r="A121" s="391"/>
      <c r="B121" s="391"/>
      <c r="C121" s="391"/>
      <c r="D121" s="391"/>
      <c r="E121" s="391"/>
      <c r="F121" s="391"/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  <c r="T121" s="391"/>
      <c r="U121" s="391"/>
      <c r="V121" s="391"/>
      <c r="W121" s="391"/>
      <c r="X121" s="391"/>
      <c r="Y121" s="391"/>
      <c r="Z121" s="391"/>
    </row>
    <row r="122" ht="15.75" customHeight="1">
      <c r="A122" s="391"/>
      <c r="B122" s="391"/>
      <c r="C122" s="391"/>
      <c r="D122" s="391"/>
      <c r="E122" s="391"/>
      <c r="F122" s="391"/>
      <c r="G122" s="391"/>
      <c r="H122" s="391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  <c r="T122" s="391"/>
      <c r="U122" s="391"/>
      <c r="V122" s="391"/>
      <c r="W122" s="391"/>
      <c r="X122" s="391"/>
      <c r="Y122" s="391"/>
      <c r="Z122" s="391"/>
    </row>
    <row r="123" ht="15.75" customHeight="1">
      <c r="A123" s="391"/>
      <c r="B123" s="391"/>
      <c r="C123" s="391"/>
      <c r="D123" s="391"/>
      <c r="E123" s="391"/>
      <c r="F123" s="391"/>
      <c r="G123" s="391"/>
      <c r="H123" s="391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  <c r="T123" s="391"/>
      <c r="U123" s="391"/>
      <c r="V123" s="391"/>
      <c r="W123" s="391"/>
      <c r="X123" s="391"/>
      <c r="Y123" s="391"/>
      <c r="Z123" s="391"/>
    </row>
    <row r="124" ht="15.75" customHeight="1">
      <c r="A124" s="391"/>
      <c r="B124" s="391"/>
      <c r="C124" s="391"/>
      <c r="D124" s="391"/>
      <c r="E124" s="391"/>
      <c r="F124" s="391"/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  <c r="T124" s="391"/>
      <c r="U124" s="391"/>
      <c r="V124" s="391"/>
      <c r="W124" s="391"/>
      <c r="X124" s="391"/>
      <c r="Y124" s="391"/>
      <c r="Z124" s="391"/>
    </row>
    <row r="125" ht="15.75" customHeight="1">
      <c r="A125" s="391"/>
      <c r="B125" s="391"/>
      <c r="C125" s="391"/>
      <c r="D125" s="391"/>
      <c r="E125" s="391"/>
      <c r="F125" s="391"/>
      <c r="G125" s="391"/>
      <c r="H125" s="391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  <c r="T125" s="391"/>
      <c r="U125" s="391"/>
      <c r="V125" s="391"/>
      <c r="W125" s="391"/>
      <c r="X125" s="391"/>
      <c r="Y125" s="391"/>
      <c r="Z125" s="391"/>
    </row>
    <row r="126" ht="15.75" customHeight="1">
      <c r="A126" s="391"/>
      <c r="B126" s="391"/>
      <c r="C126" s="391"/>
      <c r="D126" s="391"/>
      <c r="E126" s="391"/>
      <c r="F126" s="391"/>
      <c r="G126" s="391"/>
      <c r="H126" s="391"/>
      <c r="I126" s="391"/>
      <c r="J126" s="391"/>
      <c r="K126" s="391"/>
      <c r="L126" s="391"/>
      <c r="M126" s="391"/>
      <c r="N126" s="391"/>
      <c r="O126" s="391"/>
      <c r="P126" s="391"/>
      <c r="Q126" s="391"/>
      <c r="R126" s="391"/>
      <c r="S126" s="391"/>
      <c r="T126" s="391"/>
      <c r="U126" s="391"/>
      <c r="V126" s="391"/>
      <c r="W126" s="391"/>
      <c r="X126" s="391"/>
      <c r="Y126" s="391"/>
      <c r="Z126" s="391"/>
    </row>
    <row r="127" ht="15.75" customHeight="1">
      <c r="A127" s="391"/>
      <c r="B127" s="391"/>
      <c r="C127" s="391"/>
      <c r="D127" s="391"/>
      <c r="E127" s="391"/>
      <c r="F127" s="391"/>
      <c r="G127" s="391"/>
      <c r="H127" s="391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  <c r="T127" s="391"/>
      <c r="U127" s="391"/>
      <c r="V127" s="391"/>
      <c r="W127" s="391"/>
      <c r="X127" s="391"/>
      <c r="Y127" s="391"/>
      <c r="Z127" s="391"/>
    </row>
    <row r="128" ht="15.75" customHeight="1">
      <c r="A128" s="391"/>
      <c r="B128" s="391"/>
      <c r="C128" s="391"/>
      <c r="D128" s="391"/>
      <c r="E128" s="391"/>
      <c r="F128" s="391"/>
      <c r="G128" s="391"/>
      <c r="H128" s="391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  <c r="T128" s="391"/>
      <c r="U128" s="391"/>
      <c r="V128" s="391"/>
      <c r="W128" s="391"/>
      <c r="X128" s="391"/>
      <c r="Y128" s="391"/>
      <c r="Z128" s="391"/>
    </row>
    <row r="129" ht="15.75" customHeight="1">
      <c r="A129" s="391"/>
      <c r="B129" s="391"/>
      <c r="C129" s="391"/>
      <c r="D129" s="391"/>
      <c r="E129" s="391"/>
      <c r="F129" s="391"/>
      <c r="G129" s="391"/>
      <c r="H129" s="391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  <c r="T129" s="391"/>
      <c r="U129" s="391"/>
      <c r="V129" s="391"/>
      <c r="W129" s="391"/>
      <c r="X129" s="391"/>
      <c r="Y129" s="391"/>
      <c r="Z129" s="391"/>
    </row>
    <row r="130" ht="15.75" customHeight="1">
      <c r="A130" s="391"/>
      <c r="B130" s="391"/>
      <c r="C130" s="391"/>
      <c r="D130" s="391"/>
      <c r="E130" s="391"/>
      <c r="F130" s="391"/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/>
      <c r="W130" s="391"/>
      <c r="X130" s="391"/>
      <c r="Y130" s="391"/>
      <c r="Z130" s="391"/>
    </row>
    <row r="131" ht="15.75" customHeight="1">
      <c r="A131" s="391"/>
      <c r="B131" s="391"/>
      <c r="C131" s="391"/>
      <c r="D131" s="391"/>
      <c r="E131" s="391"/>
      <c r="F131" s="391"/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391"/>
      <c r="X131" s="391"/>
      <c r="Y131" s="391"/>
      <c r="Z131" s="391"/>
    </row>
    <row r="132" ht="15.75" customHeight="1">
      <c r="A132" s="391"/>
      <c r="B132" s="391"/>
      <c r="C132" s="391"/>
      <c r="D132" s="391"/>
      <c r="E132" s="391"/>
      <c r="F132" s="391"/>
      <c r="G132" s="391"/>
      <c r="H132" s="391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  <c r="T132" s="391"/>
      <c r="U132" s="391"/>
      <c r="V132" s="391"/>
      <c r="W132" s="391"/>
      <c r="X132" s="391"/>
      <c r="Y132" s="391"/>
      <c r="Z132" s="391"/>
    </row>
    <row r="133" ht="15.75" customHeight="1">
      <c r="A133" s="391"/>
      <c r="B133" s="391"/>
      <c r="C133" s="391"/>
      <c r="D133" s="391"/>
      <c r="E133" s="391"/>
      <c r="F133" s="391"/>
      <c r="G133" s="391"/>
      <c r="H133" s="391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  <c r="T133" s="391"/>
      <c r="U133" s="391"/>
      <c r="V133" s="391"/>
      <c r="W133" s="391"/>
      <c r="X133" s="391"/>
      <c r="Y133" s="391"/>
      <c r="Z133" s="391"/>
    </row>
    <row r="134" ht="15.75" customHeight="1">
      <c r="A134" s="391"/>
      <c r="B134" s="391"/>
      <c r="C134" s="391"/>
      <c r="D134" s="391"/>
      <c r="E134" s="391"/>
      <c r="F134" s="391"/>
      <c r="G134" s="391"/>
      <c r="H134" s="391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  <c r="T134" s="391"/>
      <c r="U134" s="391"/>
      <c r="V134" s="391"/>
      <c r="W134" s="391"/>
      <c r="X134" s="391"/>
      <c r="Y134" s="391"/>
      <c r="Z134" s="391"/>
    </row>
    <row r="135" ht="15.75" customHeight="1">
      <c r="A135" s="391"/>
      <c r="B135" s="391"/>
      <c r="C135" s="391"/>
      <c r="D135" s="391"/>
      <c r="E135" s="391"/>
      <c r="F135" s="391"/>
      <c r="G135" s="391"/>
      <c r="H135" s="391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391"/>
      <c r="X135" s="391"/>
      <c r="Y135" s="391"/>
      <c r="Z135" s="391"/>
    </row>
    <row r="136" ht="15.75" customHeight="1">
      <c r="A136" s="391"/>
      <c r="B136" s="391"/>
      <c r="C136" s="391"/>
      <c r="D136" s="391"/>
      <c r="E136" s="391"/>
      <c r="F136" s="391"/>
      <c r="G136" s="391"/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  <c r="W136" s="391"/>
      <c r="X136" s="391"/>
      <c r="Y136" s="391"/>
      <c r="Z136" s="391"/>
    </row>
    <row r="137" ht="15.75" customHeight="1">
      <c r="A137" s="391"/>
      <c r="B137" s="391"/>
      <c r="C137" s="391"/>
      <c r="D137" s="391"/>
      <c r="E137" s="391"/>
      <c r="F137" s="391"/>
      <c r="G137" s="391"/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  <c r="W137" s="391"/>
      <c r="X137" s="391"/>
      <c r="Y137" s="391"/>
      <c r="Z137" s="391"/>
    </row>
    <row r="138" ht="15.75" customHeight="1">
      <c r="A138" s="391"/>
      <c r="B138" s="391"/>
      <c r="C138" s="391"/>
      <c r="D138" s="391"/>
      <c r="E138" s="391"/>
      <c r="F138" s="391"/>
      <c r="G138" s="391"/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391"/>
      <c r="X138" s="391"/>
      <c r="Y138" s="391"/>
      <c r="Z138" s="391"/>
    </row>
    <row r="139" ht="15.75" customHeight="1">
      <c r="A139" s="391"/>
      <c r="B139" s="391"/>
      <c r="C139" s="391"/>
      <c r="D139" s="391"/>
      <c r="E139" s="391"/>
      <c r="F139" s="391"/>
      <c r="G139" s="391"/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391"/>
      <c r="X139" s="391"/>
      <c r="Y139" s="391"/>
      <c r="Z139" s="391"/>
    </row>
    <row r="140" ht="15.75" customHeight="1">
      <c r="A140" s="391"/>
      <c r="B140" s="391"/>
      <c r="C140" s="391"/>
      <c r="D140" s="391"/>
      <c r="E140" s="391"/>
      <c r="F140" s="391"/>
      <c r="G140" s="391"/>
      <c r="H140" s="391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391"/>
      <c r="X140" s="391"/>
      <c r="Y140" s="391"/>
      <c r="Z140" s="391"/>
    </row>
    <row r="141" ht="15.75" customHeight="1">
      <c r="A141" s="391"/>
      <c r="B141" s="391"/>
      <c r="C141" s="391"/>
      <c r="D141" s="391"/>
      <c r="E141" s="391"/>
      <c r="F141" s="391"/>
      <c r="G141" s="391"/>
      <c r="H141" s="391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  <c r="T141" s="391"/>
      <c r="U141" s="391"/>
      <c r="V141" s="391"/>
      <c r="W141" s="391"/>
      <c r="X141" s="391"/>
      <c r="Y141" s="391"/>
      <c r="Z141" s="391"/>
    </row>
    <row r="142" ht="15.75" customHeight="1">
      <c r="A142" s="391"/>
      <c r="B142" s="391"/>
      <c r="C142" s="391"/>
      <c r="D142" s="391"/>
      <c r="E142" s="391"/>
      <c r="F142" s="391"/>
      <c r="G142" s="391"/>
      <c r="H142" s="391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  <c r="T142" s="391"/>
      <c r="U142" s="391"/>
      <c r="V142" s="391"/>
      <c r="W142" s="391"/>
      <c r="X142" s="391"/>
      <c r="Y142" s="391"/>
      <c r="Z142" s="391"/>
    </row>
    <row r="143" ht="15.75" customHeight="1">
      <c r="A143" s="391"/>
      <c r="B143" s="391"/>
      <c r="C143" s="391"/>
      <c r="D143" s="391"/>
      <c r="E143" s="391"/>
      <c r="F143" s="391"/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  <c r="T143" s="391"/>
      <c r="U143" s="391"/>
      <c r="V143" s="391"/>
      <c r="W143" s="391"/>
      <c r="X143" s="391"/>
      <c r="Y143" s="391"/>
      <c r="Z143" s="391"/>
    </row>
    <row r="144" ht="15.75" customHeight="1">
      <c r="A144" s="391"/>
      <c r="B144" s="391"/>
      <c r="C144" s="391"/>
      <c r="D144" s="391"/>
      <c r="E144" s="391"/>
      <c r="F144" s="391"/>
      <c r="G144" s="391"/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391"/>
      <c r="X144" s="391"/>
      <c r="Y144" s="391"/>
      <c r="Z144" s="391"/>
    </row>
    <row r="145" ht="15.75" customHeight="1">
      <c r="A145" s="391"/>
      <c r="B145" s="391"/>
      <c r="C145" s="391"/>
      <c r="D145" s="391"/>
      <c r="E145" s="391"/>
      <c r="F145" s="391"/>
      <c r="G145" s="391"/>
      <c r="H145" s="391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  <c r="T145" s="391"/>
      <c r="U145" s="391"/>
      <c r="V145" s="391"/>
      <c r="W145" s="391"/>
      <c r="X145" s="391"/>
      <c r="Y145" s="391"/>
      <c r="Z145" s="391"/>
    </row>
    <row r="146" ht="15.75" customHeight="1">
      <c r="A146" s="391"/>
      <c r="B146" s="391"/>
      <c r="C146" s="391"/>
      <c r="D146" s="391"/>
      <c r="E146" s="391"/>
      <c r="F146" s="391"/>
      <c r="G146" s="391"/>
      <c r="H146" s="391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  <c r="T146" s="391"/>
      <c r="U146" s="391"/>
      <c r="V146" s="391"/>
      <c r="W146" s="391"/>
      <c r="X146" s="391"/>
      <c r="Y146" s="391"/>
      <c r="Z146" s="391"/>
    </row>
    <row r="147" ht="15.75" customHeight="1">
      <c r="A147" s="391"/>
      <c r="B147" s="391"/>
      <c r="C147" s="391"/>
      <c r="D147" s="391"/>
      <c r="E147" s="391"/>
      <c r="F147" s="391"/>
      <c r="G147" s="391"/>
      <c r="H147" s="391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  <c r="T147" s="391"/>
      <c r="U147" s="391"/>
      <c r="V147" s="391"/>
      <c r="W147" s="391"/>
      <c r="X147" s="391"/>
      <c r="Y147" s="391"/>
      <c r="Z147" s="391"/>
    </row>
    <row r="148" ht="15.75" customHeight="1">
      <c r="A148" s="391"/>
      <c r="B148" s="391"/>
      <c r="C148" s="391"/>
      <c r="D148" s="391"/>
      <c r="E148" s="391"/>
      <c r="F148" s="391"/>
      <c r="G148" s="391"/>
      <c r="H148" s="391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  <c r="T148" s="391"/>
      <c r="U148" s="391"/>
      <c r="V148" s="391"/>
      <c r="W148" s="391"/>
      <c r="X148" s="391"/>
      <c r="Y148" s="391"/>
      <c r="Z148" s="391"/>
    </row>
    <row r="149" ht="15.75" customHeight="1">
      <c r="A149" s="391"/>
      <c r="B149" s="391"/>
      <c r="C149" s="391"/>
      <c r="D149" s="391"/>
      <c r="E149" s="391"/>
      <c r="F149" s="391"/>
      <c r="G149" s="391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  <c r="T149" s="391"/>
      <c r="U149" s="391"/>
      <c r="V149" s="391"/>
      <c r="W149" s="391"/>
      <c r="X149" s="391"/>
      <c r="Y149" s="391"/>
      <c r="Z149" s="391"/>
    </row>
    <row r="150" ht="15.75" customHeight="1">
      <c r="A150" s="391"/>
      <c r="B150" s="391"/>
      <c r="C150" s="391"/>
      <c r="D150" s="391"/>
      <c r="E150" s="391"/>
      <c r="F150" s="391"/>
      <c r="G150" s="391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  <c r="T150" s="391"/>
      <c r="U150" s="391"/>
      <c r="V150" s="391"/>
      <c r="W150" s="391"/>
      <c r="X150" s="391"/>
      <c r="Y150" s="391"/>
      <c r="Z150" s="391"/>
    </row>
    <row r="151" ht="15.75" customHeight="1">
      <c r="A151" s="391"/>
      <c r="B151" s="391"/>
      <c r="C151" s="391"/>
      <c r="D151" s="391"/>
      <c r="E151" s="391"/>
      <c r="F151" s="391"/>
      <c r="G151" s="391"/>
      <c r="H151" s="391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  <c r="T151" s="391"/>
      <c r="U151" s="391"/>
      <c r="V151" s="391"/>
      <c r="W151" s="391"/>
      <c r="X151" s="391"/>
      <c r="Y151" s="391"/>
      <c r="Z151" s="391"/>
    </row>
    <row r="152" ht="15.75" customHeight="1">
      <c r="A152" s="391"/>
      <c r="B152" s="391"/>
      <c r="C152" s="391"/>
      <c r="D152" s="391"/>
      <c r="E152" s="391"/>
      <c r="F152" s="391"/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  <c r="V152" s="391"/>
      <c r="W152" s="391"/>
      <c r="X152" s="391"/>
      <c r="Y152" s="391"/>
      <c r="Z152" s="391"/>
    </row>
    <row r="153" ht="15.75" customHeight="1">
      <c r="A153" s="391"/>
      <c r="B153" s="391"/>
      <c r="C153" s="391"/>
      <c r="D153" s="391"/>
      <c r="E153" s="391"/>
      <c r="F153" s="391"/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1"/>
      <c r="W153" s="391"/>
      <c r="X153" s="391"/>
      <c r="Y153" s="391"/>
      <c r="Z153" s="391"/>
    </row>
    <row r="154" ht="15.75" customHeight="1">
      <c r="A154" s="391"/>
      <c r="B154" s="391"/>
      <c r="C154" s="391"/>
      <c r="D154" s="391"/>
      <c r="E154" s="391"/>
      <c r="F154" s="391"/>
      <c r="G154" s="391"/>
      <c r="H154" s="391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  <c r="T154" s="391"/>
      <c r="U154" s="391"/>
      <c r="V154" s="391"/>
      <c r="W154" s="391"/>
      <c r="X154" s="391"/>
      <c r="Y154" s="391"/>
      <c r="Z154" s="391"/>
    </row>
    <row r="155" ht="15.75" customHeight="1">
      <c r="A155" s="391"/>
      <c r="B155" s="391"/>
      <c r="C155" s="391"/>
      <c r="D155" s="391"/>
      <c r="E155" s="391"/>
      <c r="F155" s="391"/>
      <c r="G155" s="391"/>
      <c r="H155" s="391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  <c r="W155" s="391"/>
      <c r="X155" s="391"/>
      <c r="Y155" s="391"/>
      <c r="Z155" s="391"/>
    </row>
    <row r="156" ht="15.75" customHeight="1">
      <c r="A156" s="391"/>
      <c r="B156" s="391"/>
      <c r="C156" s="391"/>
      <c r="D156" s="391"/>
      <c r="E156" s="391"/>
      <c r="F156" s="391"/>
      <c r="G156" s="391"/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391"/>
      <c r="X156" s="391"/>
      <c r="Y156" s="391"/>
      <c r="Z156" s="391"/>
    </row>
    <row r="157" ht="15.75" customHeight="1">
      <c r="A157" s="391"/>
      <c r="B157" s="391"/>
      <c r="C157" s="391"/>
      <c r="D157" s="391"/>
      <c r="E157" s="391"/>
      <c r="F157" s="391"/>
      <c r="G157" s="391"/>
      <c r="H157" s="391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  <c r="T157" s="391"/>
      <c r="U157" s="391"/>
      <c r="V157" s="391"/>
      <c r="W157" s="391"/>
      <c r="X157" s="391"/>
      <c r="Y157" s="391"/>
      <c r="Z157" s="391"/>
    </row>
    <row r="158" ht="15.75" customHeight="1">
      <c r="A158" s="391"/>
      <c r="B158" s="391"/>
      <c r="C158" s="391"/>
      <c r="D158" s="391"/>
      <c r="E158" s="391"/>
      <c r="F158" s="391"/>
      <c r="G158" s="391"/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391"/>
      <c r="X158" s="391"/>
      <c r="Y158" s="391"/>
      <c r="Z158" s="391"/>
    </row>
    <row r="159" ht="15.75" customHeight="1">
      <c r="A159" s="391"/>
      <c r="B159" s="391"/>
      <c r="C159" s="391"/>
      <c r="D159" s="391"/>
      <c r="E159" s="391"/>
      <c r="F159" s="391"/>
      <c r="G159" s="391"/>
      <c r="H159" s="391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391"/>
      <c r="X159" s="391"/>
      <c r="Y159" s="391"/>
      <c r="Z159" s="391"/>
    </row>
    <row r="160" ht="15.75" customHeight="1">
      <c r="A160" s="391"/>
      <c r="B160" s="391"/>
      <c r="C160" s="391"/>
      <c r="D160" s="391"/>
      <c r="E160" s="391"/>
      <c r="F160" s="391"/>
      <c r="G160" s="391"/>
      <c r="H160" s="391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  <c r="T160" s="391"/>
      <c r="U160" s="391"/>
      <c r="V160" s="391"/>
      <c r="W160" s="391"/>
      <c r="X160" s="391"/>
      <c r="Y160" s="391"/>
      <c r="Z160" s="391"/>
    </row>
    <row r="161" ht="15.75" customHeight="1">
      <c r="A161" s="391"/>
      <c r="B161" s="391"/>
      <c r="C161" s="391"/>
      <c r="D161" s="391"/>
      <c r="E161" s="391"/>
      <c r="F161" s="391"/>
      <c r="G161" s="391"/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391"/>
      <c r="X161" s="391"/>
      <c r="Y161" s="391"/>
      <c r="Z161" s="391"/>
    </row>
    <row r="162" ht="15.75" customHeight="1">
      <c r="A162" s="391"/>
      <c r="B162" s="391"/>
      <c r="C162" s="391"/>
      <c r="D162" s="391"/>
      <c r="E162" s="391"/>
      <c r="F162" s="391"/>
      <c r="G162" s="391"/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391"/>
      <c r="X162" s="391"/>
      <c r="Y162" s="391"/>
      <c r="Z162" s="391"/>
    </row>
    <row r="163" ht="15.75" customHeight="1">
      <c r="A163" s="391"/>
      <c r="B163" s="391"/>
      <c r="C163" s="391"/>
      <c r="D163" s="391"/>
      <c r="E163" s="391"/>
      <c r="F163" s="391"/>
      <c r="G163" s="391"/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  <c r="W163" s="391"/>
      <c r="X163" s="391"/>
      <c r="Y163" s="391"/>
      <c r="Z163" s="391"/>
    </row>
    <row r="164" ht="15.75" customHeight="1">
      <c r="A164" s="391"/>
      <c r="B164" s="391"/>
      <c r="C164" s="391"/>
      <c r="D164" s="391"/>
      <c r="E164" s="391"/>
      <c r="F164" s="391"/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  <c r="T164" s="391"/>
      <c r="U164" s="391"/>
      <c r="V164" s="391"/>
      <c r="W164" s="391"/>
      <c r="X164" s="391"/>
      <c r="Y164" s="391"/>
      <c r="Z164" s="391"/>
    </row>
    <row r="165" ht="15.75" customHeight="1">
      <c r="A165" s="391"/>
      <c r="B165" s="391"/>
      <c r="C165" s="391"/>
      <c r="D165" s="391"/>
      <c r="E165" s="391"/>
      <c r="F165" s="391"/>
      <c r="G165" s="391"/>
      <c r="H165" s="391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  <c r="T165" s="391"/>
      <c r="U165" s="391"/>
      <c r="V165" s="391"/>
      <c r="W165" s="391"/>
      <c r="X165" s="391"/>
      <c r="Y165" s="391"/>
      <c r="Z165" s="391"/>
    </row>
    <row r="166" ht="15.75" customHeight="1">
      <c r="A166" s="391"/>
      <c r="B166" s="391"/>
      <c r="C166" s="391"/>
      <c r="D166" s="391"/>
      <c r="E166" s="391"/>
      <c r="F166" s="391"/>
      <c r="G166" s="391"/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391"/>
      <c r="X166" s="391"/>
      <c r="Y166" s="391"/>
      <c r="Z166" s="391"/>
    </row>
    <row r="167" ht="15.75" customHeight="1">
      <c r="A167" s="391"/>
      <c r="B167" s="391"/>
      <c r="C167" s="391"/>
      <c r="D167" s="391"/>
      <c r="E167" s="391"/>
      <c r="F167" s="391"/>
      <c r="G167" s="391"/>
      <c r="H167" s="391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  <c r="T167" s="391"/>
      <c r="U167" s="391"/>
      <c r="V167" s="391"/>
      <c r="W167" s="391"/>
      <c r="X167" s="391"/>
      <c r="Y167" s="391"/>
      <c r="Z167" s="391"/>
    </row>
    <row r="168" ht="15.75" customHeight="1">
      <c r="A168" s="391"/>
      <c r="B168" s="391"/>
      <c r="C168" s="391"/>
      <c r="D168" s="391"/>
      <c r="E168" s="391"/>
      <c r="F168" s="391"/>
      <c r="G168" s="391"/>
      <c r="H168" s="391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  <c r="T168" s="391"/>
      <c r="U168" s="391"/>
      <c r="V168" s="391"/>
      <c r="W168" s="391"/>
      <c r="X168" s="391"/>
      <c r="Y168" s="391"/>
      <c r="Z168" s="391"/>
    </row>
    <row r="169" ht="15.75" customHeight="1">
      <c r="A169" s="391"/>
      <c r="B169" s="391"/>
      <c r="C169" s="391"/>
      <c r="D169" s="391"/>
      <c r="E169" s="391"/>
      <c r="F169" s="391"/>
      <c r="G169" s="391"/>
      <c r="H169" s="391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  <c r="W169" s="391"/>
      <c r="X169" s="391"/>
      <c r="Y169" s="391"/>
      <c r="Z169" s="391"/>
    </row>
    <row r="170" ht="15.75" customHeight="1">
      <c r="A170" s="391"/>
      <c r="B170" s="391"/>
      <c r="C170" s="391"/>
      <c r="D170" s="391"/>
      <c r="E170" s="391"/>
      <c r="F170" s="391"/>
      <c r="G170" s="391"/>
      <c r="H170" s="391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391"/>
      <c r="X170" s="391"/>
      <c r="Y170" s="391"/>
      <c r="Z170" s="391"/>
    </row>
    <row r="171" ht="15.75" customHeight="1">
      <c r="A171" s="391"/>
      <c r="B171" s="391"/>
      <c r="C171" s="391"/>
      <c r="D171" s="391"/>
      <c r="E171" s="391"/>
      <c r="F171" s="391"/>
      <c r="G171" s="391"/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  <c r="W171" s="391"/>
      <c r="X171" s="391"/>
      <c r="Y171" s="391"/>
      <c r="Z171" s="391"/>
    </row>
    <row r="172" ht="15.75" customHeight="1">
      <c r="A172" s="391"/>
      <c r="B172" s="391"/>
      <c r="C172" s="391"/>
      <c r="D172" s="391"/>
      <c r="E172" s="391"/>
      <c r="F172" s="391"/>
      <c r="G172" s="391"/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391"/>
      <c r="X172" s="391"/>
      <c r="Y172" s="391"/>
      <c r="Z172" s="391"/>
    </row>
    <row r="173" ht="15.75" customHeight="1">
      <c r="A173" s="391"/>
      <c r="B173" s="391"/>
      <c r="C173" s="391"/>
      <c r="D173" s="391"/>
      <c r="E173" s="391"/>
      <c r="F173" s="391"/>
      <c r="G173" s="391"/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  <c r="W173" s="391"/>
      <c r="X173" s="391"/>
      <c r="Y173" s="391"/>
      <c r="Z173" s="391"/>
    </row>
    <row r="174" ht="15.75" customHeight="1">
      <c r="A174" s="391"/>
      <c r="B174" s="391"/>
      <c r="C174" s="391"/>
      <c r="D174" s="391"/>
      <c r="E174" s="391"/>
      <c r="F174" s="391"/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391"/>
      <c r="X174" s="391"/>
      <c r="Y174" s="391"/>
      <c r="Z174" s="391"/>
    </row>
    <row r="175" ht="15.75" customHeight="1">
      <c r="A175" s="391"/>
      <c r="B175" s="391"/>
      <c r="C175" s="391"/>
      <c r="D175" s="391"/>
      <c r="E175" s="391"/>
      <c r="F175" s="391"/>
      <c r="G175" s="391"/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  <c r="W175" s="391"/>
      <c r="X175" s="391"/>
      <c r="Y175" s="391"/>
      <c r="Z175" s="391"/>
    </row>
    <row r="176" ht="15.75" customHeight="1">
      <c r="A176" s="391"/>
      <c r="B176" s="391"/>
      <c r="C176" s="391"/>
      <c r="D176" s="391"/>
      <c r="E176" s="391"/>
      <c r="F176" s="391"/>
      <c r="G176" s="391"/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  <c r="W176" s="391"/>
      <c r="X176" s="391"/>
      <c r="Y176" s="391"/>
      <c r="Z176" s="391"/>
    </row>
    <row r="177" ht="15.75" customHeight="1">
      <c r="A177" s="391"/>
      <c r="B177" s="391"/>
      <c r="C177" s="391"/>
      <c r="D177" s="391"/>
      <c r="E177" s="391"/>
      <c r="F177" s="391"/>
      <c r="G177" s="391"/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  <c r="W177" s="391"/>
      <c r="X177" s="391"/>
      <c r="Y177" s="391"/>
      <c r="Z177" s="391"/>
    </row>
    <row r="178" ht="15.75" customHeight="1">
      <c r="A178" s="391"/>
      <c r="B178" s="391"/>
      <c r="C178" s="391"/>
      <c r="D178" s="391"/>
      <c r="E178" s="391"/>
      <c r="F178" s="391"/>
      <c r="G178" s="391"/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  <c r="W178" s="391"/>
      <c r="X178" s="391"/>
      <c r="Y178" s="391"/>
      <c r="Z178" s="391"/>
    </row>
    <row r="179" ht="15.75" customHeight="1">
      <c r="A179" s="391"/>
      <c r="B179" s="391"/>
      <c r="C179" s="391"/>
      <c r="D179" s="391"/>
      <c r="E179" s="391"/>
      <c r="F179" s="391"/>
      <c r="G179" s="391"/>
      <c r="H179" s="391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  <c r="T179" s="391"/>
      <c r="U179" s="391"/>
      <c r="V179" s="391"/>
      <c r="W179" s="391"/>
      <c r="X179" s="391"/>
      <c r="Y179" s="391"/>
      <c r="Z179" s="391"/>
    </row>
    <row r="180" ht="15.75" customHeight="1">
      <c r="A180" s="391"/>
      <c r="B180" s="391"/>
      <c r="C180" s="391"/>
      <c r="D180" s="391"/>
      <c r="E180" s="391"/>
      <c r="F180" s="391"/>
      <c r="G180" s="391"/>
      <c r="H180" s="391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  <c r="W180" s="391"/>
      <c r="X180" s="391"/>
      <c r="Y180" s="391"/>
      <c r="Z180" s="391"/>
    </row>
    <row r="181" ht="15.75" customHeight="1">
      <c r="A181" s="391"/>
      <c r="B181" s="391"/>
      <c r="C181" s="391"/>
      <c r="D181" s="391"/>
      <c r="E181" s="391"/>
      <c r="F181" s="391"/>
      <c r="G181" s="391"/>
      <c r="H181" s="391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  <c r="T181" s="391"/>
      <c r="U181" s="391"/>
      <c r="V181" s="391"/>
      <c r="W181" s="391"/>
      <c r="X181" s="391"/>
      <c r="Y181" s="391"/>
      <c r="Z181" s="391"/>
    </row>
    <row r="182" ht="15.75" customHeight="1">
      <c r="A182" s="391"/>
      <c r="B182" s="391"/>
      <c r="C182" s="391"/>
      <c r="D182" s="391"/>
      <c r="E182" s="391"/>
      <c r="F182" s="391"/>
      <c r="G182" s="391"/>
      <c r="H182" s="391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  <c r="T182" s="391"/>
      <c r="U182" s="391"/>
      <c r="V182" s="391"/>
      <c r="W182" s="391"/>
      <c r="X182" s="391"/>
      <c r="Y182" s="391"/>
      <c r="Z182" s="391"/>
    </row>
    <row r="183" ht="15.75" customHeight="1">
      <c r="A183" s="391"/>
      <c r="B183" s="391"/>
      <c r="C183" s="391"/>
      <c r="D183" s="391"/>
      <c r="E183" s="391"/>
      <c r="F183" s="391"/>
      <c r="G183" s="391"/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/>
      <c r="W183" s="391"/>
      <c r="X183" s="391"/>
      <c r="Y183" s="391"/>
      <c r="Z183" s="391"/>
    </row>
    <row r="184" ht="15.75" customHeight="1">
      <c r="A184" s="391"/>
      <c r="B184" s="391"/>
      <c r="C184" s="391"/>
      <c r="D184" s="391"/>
      <c r="E184" s="391"/>
      <c r="F184" s="391"/>
      <c r="G184" s="391"/>
      <c r="H184" s="391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  <c r="T184" s="391"/>
      <c r="U184" s="391"/>
      <c r="V184" s="391"/>
      <c r="W184" s="391"/>
      <c r="X184" s="391"/>
      <c r="Y184" s="391"/>
      <c r="Z184" s="391"/>
    </row>
    <row r="185" ht="15.75" customHeight="1">
      <c r="A185" s="391"/>
      <c r="B185" s="391"/>
      <c r="C185" s="391"/>
      <c r="D185" s="391"/>
      <c r="E185" s="391"/>
      <c r="F185" s="391"/>
      <c r="G185" s="391"/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  <c r="W185" s="391"/>
      <c r="X185" s="391"/>
      <c r="Y185" s="391"/>
      <c r="Z185" s="391"/>
    </row>
    <row r="186" ht="15.75" customHeight="1">
      <c r="A186" s="391"/>
      <c r="B186" s="391"/>
      <c r="C186" s="391"/>
      <c r="D186" s="391"/>
      <c r="E186" s="391"/>
      <c r="F186" s="391"/>
      <c r="G186" s="391"/>
      <c r="H186" s="391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  <c r="T186" s="391"/>
      <c r="U186" s="391"/>
      <c r="V186" s="391"/>
      <c r="W186" s="391"/>
      <c r="X186" s="391"/>
      <c r="Y186" s="391"/>
      <c r="Z186" s="391"/>
    </row>
    <row r="187" ht="15.75" customHeight="1">
      <c r="A187" s="391"/>
      <c r="B187" s="391"/>
      <c r="C187" s="391"/>
      <c r="D187" s="391"/>
      <c r="E187" s="391"/>
      <c r="F187" s="391"/>
      <c r="G187" s="391"/>
      <c r="H187" s="391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  <c r="T187" s="391"/>
      <c r="U187" s="391"/>
      <c r="V187" s="391"/>
      <c r="W187" s="391"/>
      <c r="X187" s="391"/>
      <c r="Y187" s="391"/>
      <c r="Z187" s="391"/>
    </row>
    <row r="188" ht="15.75" customHeight="1">
      <c r="A188" s="391"/>
      <c r="B188" s="391"/>
      <c r="C188" s="391"/>
      <c r="D188" s="391"/>
      <c r="E188" s="391"/>
      <c r="F188" s="391"/>
      <c r="G188" s="391"/>
      <c r="H188" s="391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  <c r="T188" s="391"/>
      <c r="U188" s="391"/>
      <c r="V188" s="391"/>
      <c r="W188" s="391"/>
      <c r="X188" s="391"/>
      <c r="Y188" s="391"/>
      <c r="Z188" s="391"/>
    </row>
    <row r="189" ht="15.75" customHeight="1">
      <c r="A189" s="391"/>
      <c r="B189" s="391"/>
      <c r="C189" s="391"/>
      <c r="D189" s="391"/>
      <c r="E189" s="391"/>
      <c r="F189" s="391"/>
      <c r="G189" s="391"/>
      <c r="H189" s="391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  <c r="T189" s="391"/>
      <c r="U189" s="391"/>
      <c r="V189" s="391"/>
      <c r="W189" s="391"/>
      <c r="X189" s="391"/>
      <c r="Y189" s="391"/>
      <c r="Z189" s="391"/>
    </row>
    <row r="190" ht="15.75" customHeight="1">
      <c r="A190" s="391"/>
      <c r="B190" s="391"/>
      <c r="C190" s="391"/>
      <c r="D190" s="391"/>
      <c r="E190" s="391"/>
      <c r="F190" s="391"/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  <c r="W190" s="391"/>
      <c r="X190" s="391"/>
      <c r="Y190" s="391"/>
      <c r="Z190" s="391"/>
    </row>
    <row r="191" ht="15.75" customHeight="1">
      <c r="A191" s="391"/>
      <c r="B191" s="391"/>
      <c r="C191" s="391"/>
      <c r="D191" s="391"/>
      <c r="E191" s="391"/>
      <c r="F191" s="391"/>
      <c r="G191" s="391"/>
      <c r="H191" s="391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  <c r="T191" s="391"/>
      <c r="U191" s="391"/>
      <c r="V191" s="391"/>
      <c r="W191" s="391"/>
      <c r="X191" s="391"/>
      <c r="Y191" s="391"/>
      <c r="Z191" s="391"/>
    </row>
    <row r="192" ht="15.75" customHeight="1">
      <c r="A192" s="391"/>
      <c r="B192" s="391"/>
      <c r="C192" s="391"/>
      <c r="D192" s="391"/>
      <c r="E192" s="391"/>
      <c r="F192" s="391"/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/>
      <c r="W192" s="391"/>
      <c r="X192" s="391"/>
      <c r="Y192" s="391"/>
      <c r="Z192" s="391"/>
    </row>
    <row r="193" ht="15.75" customHeight="1">
      <c r="A193" s="391"/>
      <c r="B193" s="391"/>
      <c r="C193" s="391"/>
      <c r="D193" s="391"/>
      <c r="E193" s="391"/>
      <c r="F193" s="391"/>
      <c r="G193" s="391"/>
      <c r="H193" s="391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391"/>
      <c r="X193" s="391"/>
      <c r="Y193" s="391"/>
      <c r="Z193" s="391"/>
    </row>
    <row r="194" ht="15.75" customHeight="1">
      <c r="A194" s="391"/>
      <c r="B194" s="391"/>
      <c r="C194" s="391"/>
      <c r="D194" s="391"/>
      <c r="E194" s="391"/>
      <c r="F194" s="391"/>
      <c r="G194" s="391"/>
      <c r="H194" s="391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391"/>
      <c r="X194" s="391"/>
      <c r="Y194" s="391"/>
      <c r="Z194" s="391"/>
    </row>
    <row r="195" ht="15.75" customHeight="1">
      <c r="A195" s="391"/>
      <c r="B195" s="391"/>
      <c r="C195" s="391"/>
      <c r="D195" s="391"/>
      <c r="E195" s="391"/>
      <c r="F195" s="391"/>
      <c r="G195" s="391"/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391"/>
      <c r="X195" s="391"/>
      <c r="Y195" s="391"/>
      <c r="Z195" s="391"/>
    </row>
    <row r="196" ht="15.75" customHeight="1">
      <c r="A196" s="391"/>
      <c r="B196" s="391"/>
      <c r="C196" s="391"/>
      <c r="D196" s="391"/>
      <c r="E196" s="391"/>
      <c r="F196" s="391"/>
      <c r="G196" s="391"/>
      <c r="H196" s="391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  <c r="T196" s="391"/>
      <c r="U196" s="391"/>
      <c r="V196" s="391"/>
      <c r="W196" s="391"/>
      <c r="X196" s="391"/>
      <c r="Y196" s="391"/>
      <c r="Z196" s="391"/>
    </row>
    <row r="197" ht="15.75" customHeight="1">
      <c r="A197" s="391"/>
      <c r="B197" s="391"/>
      <c r="C197" s="391"/>
      <c r="D197" s="391"/>
      <c r="E197" s="391"/>
      <c r="F197" s="391"/>
      <c r="G197" s="391"/>
      <c r="H197" s="391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  <c r="T197" s="391"/>
      <c r="U197" s="391"/>
      <c r="V197" s="391"/>
      <c r="W197" s="391"/>
      <c r="X197" s="391"/>
      <c r="Y197" s="391"/>
      <c r="Z197" s="391"/>
    </row>
    <row r="198" ht="15.75" customHeight="1">
      <c r="A198" s="391"/>
      <c r="B198" s="391"/>
      <c r="C198" s="391"/>
      <c r="D198" s="391"/>
      <c r="E198" s="391"/>
      <c r="F198" s="391"/>
      <c r="G198" s="391"/>
      <c r="H198" s="391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  <c r="T198" s="391"/>
      <c r="U198" s="391"/>
      <c r="V198" s="391"/>
      <c r="W198" s="391"/>
      <c r="X198" s="391"/>
      <c r="Y198" s="391"/>
      <c r="Z198" s="391"/>
    </row>
    <row r="199" ht="15.75" customHeight="1">
      <c r="A199" s="391"/>
      <c r="B199" s="391"/>
      <c r="C199" s="391"/>
      <c r="D199" s="391"/>
      <c r="E199" s="391"/>
      <c r="F199" s="391"/>
      <c r="G199" s="391"/>
      <c r="H199" s="391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/>
      <c r="W199" s="391"/>
      <c r="X199" s="391"/>
      <c r="Y199" s="391"/>
      <c r="Z199" s="391"/>
    </row>
    <row r="200" ht="15.75" customHeight="1">
      <c r="A200" s="391"/>
      <c r="B200" s="391"/>
      <c r="C200" s="391"/>
      <c r="D200" s="391"/>
      <c r="E200" s="391"/>
      <c r="F200" s="391"/>
      <c r="G200" s="391"/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391"/>
      <c r="X200" s="391"/>
      <c r="Y200" s="391"/>
      <c r="Z200" s="391"/>
    </row>
    <row r="201" ht="15.75" customHeight="1">
      <c r="A201" s="391"/>
      <c r="B201" s="391"/>
      <c r="C201" s="391"/>
      <c r="D201" s="391"/>
      <c r="E201" s="391"/>
      <c r="F201" s="391"/>
      <c r="G201" s="391"/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391"/>
      <c r="X201" s="391"/>
      <c r="Y201" s="391"/>
      <c r="Z201" s="391"/>
    </row>
    <row r="202" ht="15.75" customHeight="1">
      <c r="A202" s="391"/>
      <c r="B202" s="391"/>
      <c r="C202" s="391"/>
      <c r="D202" s="391"/>
      <c r="E202" s="391"/>
      <c r="F202" s="391"/>
      <c r="G202" s="391"/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  <c r="W202" s="391"/>
      <c r="X202" s="391"/>
      <c r="Y202" s="391"/>
      <c r="Z202" s="391"/>
    </row>
    <row r="203" ht="15.75" customHeight="1">
      <c r="A203" s="391"/>
      <c r="B203" s="391"/>
      <c r="C203" s="391"/>
      <c r="D203" s="391"/>
      <c r="E203" s="391"/>
      <c r="F203" s="391"/>
      <c r="G203" s="391"/>
      <c r="H203" s="391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  <c r="T203" s="391"/>
      <c r="U203" s="391"/>
      <c r="V203" s="391"/>
      <c r="W203" s="391"/>
      <c r="X203" s="391"/>
      <c r="Y203" s="391"/>
      <c r="Z203" s="391"/>
    </row>
    <row r="204" ht="15.75" customHeight="1">
      <c r="A204" s="391"/>
      <c r="B204" s="391"/>
      <c r="C204" s="391"/>
      <c r="D204" s="391"/>
      <c r="E204" s="391"/>
      <c r="F204" s="391"/>
      <c r="G204" s="391"/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/>
      <c r="W204" s="391"/>
      <c r="X204" s="391"/>
      <c r="Y204" s="391"/>
      <c r="Z204" s="391"/>
    </row>
    <row r="205" ht="15.75" customHeight="1">
      <c r="A205" s="391"/>
      <c r="B205" s="391"/>
      <c r="C205" s="391"/>
      <c r="D205" s="391"/>
      <c r="E205" s="391"/>
      <c r="F205" s="391"/>
      <c r="G205" s="391"/>
      <c r="H205" s="391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  <c r="W205" s="391"/>
      <c r="X205" s="391"/>
      <c r="Y205" s="391"/>
      <c r="Z205" s="391"/>
    </row>
    <row r="206" ht="15.75" customHeight="1">
      <c r="A206" s="391"/>
      <c r="B206" s="391"/>
      <c r="C206" s="391"/>
      <c r="D206" s="391"/>
      <c r="E206" s="391"/>
      <c r="F206" s="391"/>
      <c r="G206" s="391"/>
      <c r="H206" s="391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  <c r="T206" s="391"/>
      <c r="U206" s="391"/>
      <c r="V206" s="391"/>
      <c r="W206" s="391"/>
      <c r="X206" s="391"/>
      <c r="Y206" s="391"/>
      <c r="Z206" s="391"/>
    </row>
    <row r="207" ht="15.75" customHeight="1">
      <c r="A207" s="391"/>
      <c r="B207" s="391"/>
      <c r="C207" s="391"/>
      <c r="D207" s="391"/>
      <c r="E207" s="391"/>
      <c r="F207" s="391"/>
      <c r="G207" s="391"/>
      <c r="H207" s="391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391"/>
      <c r="X207" s="391"/>
      <c r="Y207" s="391"/>
      <c r="Z207" s="391"/>
    </row>
    <row r="208" ht="15.75" customHeight="1">
      <c r="A208" s="391"/>
      <c r="B208" s="391"/>
      <c r="C208" s="391"/>
      <c r="D208" s="391"/>
      <c r="E208" s="391"/>
      <c r="F208" s="391"/>
      <c r="G208" s="391"/>
      <c r="H208" s="391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  <c r="T208" s="391"/>
      <c r="U208" s="391"/>
      <c r="V208" s="391"/>
      <c r="W208" s="391"/>
      <c r="X208" s="391"/>
      <c r="Y208" s="391"/>
      <c r="Z208" s="391"/>
    </row>
    <row r="209" ht="15.75" customHeight="1">
      <c r="A209" s="391"/>
      <c r="B209" s="391"/>
      <c r="C209" s="391"/>
      <c r="D209" s="391"/>
      <c r="E209" s="391"/>
      <c r="F209" s="391"/>
      <c r="G209" s="391"/>
      <c r="H209" s="391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  <c r="T209" s="391"/>
      <c r="U209" s="391"/>
      <c r="V209" s="391"/>
      <c r="W209" s="391"/>
      <c r="X209" s="391"/>
      <c r="Y209" s="391"/>
      <c r="Z209" s="391"/>
    </row>
    <row r="210" ht="15.75" customHeight="1">
      <c r="A210" s="391"/>
      <c r="B210" s="391"/>
      <c r="C210" s="391"/>
      <c r="D210" s="391"/>
      <c r="E210" s="391"/>
      <c r="F210" s="391"/>
      <c r="G210" s="391"/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391"/>
      <c r="X210" s="391"/>
      <c r="Y210" s="391"/>
      <c r="Z210" s="391"/>
    </row>
    <row r="211" ht="15.75" customHeight="1">
      <c r="A211" s="391"/>
      <c r="B211" s="391"/>
      <c r="C211" s="391"/>
      <c r="D211" s="391"/>
      <c r="E211" s="391"/>
      <c r="F211" s="391"/>
      <c r="G211" s="391"/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391"/>
      <c r="X211" s="391"/>
      <c r="Y211" s="391"/>
      <c r="Z211" s="391"/>
    </row>
    <row r="212" ht="15.75" customHeight="1">
      <c r="A212" s="391"/>
      <c r="B212" s="391"/>
      <c r="C212" s="391"/>
      <c r="D212" s="391"/>
      <c r="E212" s="391"/>
      <c r="F212" s="391"/>
      <c r="G212" s="391"/>
      <c r="H212" s="391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  <c r="T212" s="391"/>
      <c r="U212" s="391"/>
      <c r="V212" s="391"/>
      <c r="W212" s="391"/>
      <c r="X212" s="391"/>
      <c r="Y212" s="391"/>
      <c r="Z212" s="391"/>
    </row>
    <row r="213" ht="15.75" customHeight="1">
      <c r="A213" s="391"/>
      <c r="B213" s="391"/>
      <c r="C213" s="391"/>
      <c r="D213" s="391"/>
      <c r="E213" s="391"/>
      <c r="F213" s="391"/>
      <c r="G213" s="391"/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/>
      <c r="W213" s="391"/>
      <c r="X213" s="391"/>
      <c r="Y213" s="391"/>
      <c r="Z213" s="391"/>
    </row>
    <row r="214" ht="15.75" customHeight="1">
      <c r="A214" s="391"/>
      <c r="B214" s="391"/>
      <c r="C214" s="391"/>
      <c r="D214" s="391"/>
      <c r="E214" s="391"/>
      <c r="F214" s="391"/>
      <c r="G214" s="391"/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/>
      <c r="W214" s="391"/>
      <c r="X214" s="391"/>
      <c r="Y214" s="391"/>
      <c r="Z214" s="391"/>
    </row>
    <row r="215" ht="15.75" customHeight="1">
      <c r="A215" s="391"/>
      <c r="B215" s="391"/>
      <c r="C215" s="391"/>
      <c r="D215" s="391"/>
      <c r="E215" s="391"/>
      <c r="F215" s="391"/>
      <c r="G215" s="391"/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  <c r="W215" s="391"/>
      <c r="X215" s="391"/>
      <c r="Y215" s="391"/>
      <c r="Z215" s="391"/>
    </row>
    <row r="216" ht="15.75" customHeight="1">
      <c r="A216" s="391"/>
      <c r="B216" s="391"/>
      <c r="C216" s="391"/>
      <c r="D216" s="391"/>
      <c r="E216" s="391"/>
      <c r="F216" s="391"/>
      <c r="G216" s="391"/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/>
      <c r="W216" s="391"/>
      <c r="X216" s="391"/>
      <c r="Y216" s="391"/>
      <c r="Z216" s="391"/>
    </row>
    <row r="217" ht="15.75" customHeight="1">
      <c r="A217" s="391"/>
      <c r="B217" s="391"/>
      <c r="C217" s="391"/>
      <c r="D217" s="391"/>
      <c r="E217" s="391"/>
      <c r="F217" s="391"/>
      <c r="G217" s="391"/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/>
      <c r="W217" s="391"/>
      <c r="X217" s="391"/>
      <c r="Y217" s="391"/>
      <c r="Z217" s="391"/>
    </row>
    <row r="218" ht="15.75" customHeight="1">
      <c r="A218" s="391"/>
      <c r="B218" s="391"/>
      <c r="C218" s="391"/>
      <c r="D218" s="391"/>
      <c r="E218" s="391"/>
      <c r="F218" s="391"/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/>
      <c r="W218" s="391"/>
      <c r="X218" s="391"/>
      <c r="Y218" s="391"/>
      <c r="Z218" s="391"/>
    </row>
    <row r="219" ht="15.75" customHeight="1">
      <c r="A219" s="391"/>
      <c r="B219" s="391"/>
      <c r="C219" s="391"/>
      <c r="D219" s="391"/>
      <c r="E219" s="391"/>
      <c r="F219" s="391"/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391"/>
      <c r="X219" s="391"/>
      <c r="Y219" s="391"/>
      <c r="Z219" s="391"/>
    </row>
    <row r="220" ht="15.75" customHeight="1">
      <c r="A220" s="391"/>
      <c r="B220" s="391"/>
      <c r="C220" s="391"/>
      <c r="D220" s="391"/>
      <c r="E220" s="391"/>
      <c r="F220" s="391"/>
      <c r="G220" s="391"/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  <c r="W220" s="391"/>
      <c r="X220" s="391"/>
      <c r="Y220" s="391"/>
      <c r="Z220" s="391"/>
    </row>
    <row r="221" ht="15.75" customHeight="1">
      <c r="A221" s="391"/>
      <c r="B221" s="391"/>
      <c r="C221" s="391"/>
      <c r="D221" s="391"/>
      <c r="E221" s="391"/>
      <c r="F221" s="391"/>
      <c r="G221" s="391"/>
      <c r="H221" s="391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  <c r="T221" s="391"/>
      <c r="U221" s="391"/>
      <c r="V221" s="391"/>
      <c r="W221" s="391"/>
      <c r="X221" s="391"/>
      <c r="Y221" s="391"/>
      <c r="Z221" s="391"/>
    </row>
    <row r="222" ht="15.75" customHeight="1">
      <c r="A222" s="391"/>
      <c r="B222" s="391"/>
      <c r="C222" s="391"/>
      <c r="D222" s="391"/>
      <c r="E222" s="391"/>
      <c r="F222" s="391"/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  <c r="X222" s="391"/>
      <c r="Y222" s="391"/>
      <c r="Z222" s="391"/>
    </row>
    <row r="223" ht="15.75" customHeight="1">
      <c r="A223" s="391"/>
      <c r="B223" s="391"/>
      <c r="C223" s="391"/>
      <c r="D223" s="391"/>
      <c r="E223" s="391"/>
      <c r="F223" s="391"/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  <c r="W223" s="391"/>
      <c r="X223" s="391"/>
      <c r="Y223" s="391"/>
      <c r="Z223" s="391"/>
    </row>
    <row r="224" ht="15.75" customHeight="1">
      <c r="A224" s="391"/>
      <c r="B224" s="391"/>
      <c r="C224" s="391"/>
      <c r="D224" s="391"/>
      <c r="E224" s="391"/>
      <c r="F224" s="391"/>
      <c r="G224" s="391"/>
      <c r="H224" s="391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  <c r="T224" s="391"/>
      <c r="U224" s="391"/>
      <c r="V224" s="391"/>
      <c r="W224" s="391"/>
      <c r="X224" s="391"/>
      <c r="Y224" s="391"/>
      <c r="Z224" s="391"/>
    </row>
    <row r="225" ht="15.75" customHeight="1">
      <c r="A225" s="391"/>
      <c r="B225" s="391"/>
      <c r="C225" s="391"/>
      <c r="D225" s="391"/>
      <c r="E225" s="391"/>
      <c r="F225" s="391"/>
      <c r="G225" s="391"/>
      <c r="H225" s="391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  <c r="W225" s="391"/>
      <c r="X225" s="391"/>
      <c r="Y225" s="391"/>
      <c r="Z225" s="391"/>
    </row>
    <row r="226" ht="15.75" customHeight="1">
      <c r="A226" s="391"/>
      <c r="B226" s="391"/>
      <c r="C226" s="391"/>
      <c r="D226" s="391"/>
      <c r="E226" s="391"/>
      <c r="F226" s="391"/>
      <c r="G226" s="391"/>
      <c r="H226" s="391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  <c r="T226" s="391"/>
      <c r="U226" s="391"/>
      <c r="V226" s="391"/>
      <c r="W226" s="391"/>
      <c r="X226" s="391"/>
      <c r="Y226" s="391"/>
      <c r="Z226" s="391"/>
    </row>
    <row r="227" ht="15.75" customHeight="1">
      <c r="A227" s="391"/>
      <c r="B227" s="391"/>
      <c r="C227" s="391"/>
      <c r="D227" s="391"/>
      <c r="E227" s="391"/>
      <c r="F227" s="391"/>
      <c r="G227" s="391"/>
      <c r="H227" s="391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  <c r="T227" s="391"/>
      <c r="U227" s="391"/>
      <c r="V227" s="391"/>
      <c r="W227" s="391"/>
      <c r="X227" s="391"/>
      <c r="Y227" s="391"/>
      <c r="Z227" s="391"/>
    </row>
    <row r="228" ht="15.75" customHeight="1">
      <c r="A228" s="391"/>
      <c r="B228" s="391"/>
      <c r="C228" s="391"/>
      <c r="D228" s="391"/>
      <c r="E228" s="391"/>
      <c r="F228" s="391"/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  <c r="T228" s="391"/>
      <c r="U228" s="391"/>
      <c r="V228" s="391"/>
      <c r="W228" s="391"/>
      <c r="X228" s="391"/>
      <c r="Y228" s="391"/>
      <c r="Z228" s="391"/>
    </row>
    <row r="229" ht="15.75" customHeight="1">
      <c r="A229" s="391"/>
      <c r="B229" s="391"/>
      <c r="C229" s="391"/>
      <c r="D229" s="391"/>
      <c r="E229" s="391"/>
      <c r="F229" s="391"/>
      <c r="G229" s="391"/>
      <c r="H229" s="391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  <c r="T229" s="391"/>
      <c r="U229" s="391"/>
      <c r="V229" s="391"/>
      <c r="W229" s="391"/>
      <c r="X229" s="391"/>
      <c r="Y229" s="391"/>
      <c r="Z229" s="391"/>
    </row>
    <row r="230" ht="15.75" customHeight="1">
      <c r="A230" s="391"/>
      <c r="B230" s="391"/>
      <c r="C230" s="391"/>
      <c r="D230" s="391"/>
      <c r="E230" s="391"/>
      <c r="F230" s="391"/>
      <c r="G230" s="391"/>
      <c r="H230" s="391"/>
      <c r="I230" s="391"/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  <c r="T230" s="391"/>
      <c r="U230" s="391"/>
      <c r="V230" s="391"/>
      <c r="W230" s="391"/>
      <c r="X230" s="391"/>
      <c r="Y230" s="391"/>
      <c r="Z230" s="391"/>
    </row>
    <row r="231" ht="15.75" customHeight="1">
      <c r="A231" s="391"/>
      <c r="B231" s="391"/>
      <c r="C231" s="391"/>
      <c r="D231" s="391"/>
      <c r="E231" s="391"/>
      <c r="F231" s="391"/>
      <c r="G231" s="391"/>
      <c r="H231" s="391"/>
      <c r="I231" s="391"/>
      <c r="J231" s="391"/>
      <c r="K231" s="391"/>
      <c r="L231" s="391"/>
      <c r="M231" s="391"/>
      <c r="N231" s="391"/>
      <c r="O231" s="391"/>
      <c r="P231" s="391"/>
      <c r="Q231" s="391"/>
      <c r="R231" s="391"/>
      <c r="S231" s="391"/>
      <c r="T231" s="391"/>
      <c r="U231" s="391"/>
      <c r="V231" s="391"/>
      <c r="W231" s="391"/>
      <c r="X231" s="391"/>
      <c r="Y231" s="391"/>
      <c r="Z231" s="391"/>
    </row>
    <row r="232" ht="15.75" customHeight="1">
      <c r="A232" s="391"/>
      <c r="B232" s="391"/>
      <c r="C232" s="391"/>
      <c r="D232" s="391"/>
      <c r="E232" s="391"/>
      <c r="F232" s="391"/>
      <c r="G232" s="391"/>
      <c r="H232" s="391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  <c r="T232" s="391"/>
      <c r="U232" s="391"/>
      <c r="V232" s="391"/>
      <c r="W232" s="391"/>
      <c r="X232" s="391"/>
      <c r="Y232" s="391"/>
      <c r="Z232" s="391"/>
    </row>
    <row r="233" ht="15.75" customHeight="1">
      <c r="A233" s="391"/>
      <c r="B233" s="391"/>
      <c r="C233" s="391"/>
      <c r="D233" s="391"/>
      <c r="E233" s="391"/>
      <c r="F233" s="391"/>
      <c r="G233" s="391"/>
      <c r="H233" s="391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  <c r="T233" s="391"/>
      <c r="U233" s="391"/>
      <c r="V233" s="391"/>
      <c r="W233" s="391"/>
      <c r="X233" s="391"/>
      <c r="Y233" s="391"/>
      <c r="Z233" s="391"/>
    </row>
    <row r="234" ht="15.75" customHeight="1">
      <c r="A234" s="391"/>
      <c r="B234" s="391"/>
      <c r="C234" s="391"/>
      <c r="D234" s="391"/>
      <c r="E234" s="391"/>
      <c r="F234" s="391"/>
      <c r="G234" s="391"/>
      <c r="H234" s="391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  <c r="T234" s="391"/>
      <c r="U234" s="391"/>
      <c r="V234" s="391"/>
      <c r="W234" s="391"/>
      <c r="X234" s="391"/>
      <c r="Y234" s="391"/>
      <c r="Z234" s="391"/>
    </row>
    <row r="235" ht="15.75" customHeight="1">
      <c r="A235" s="391"/>
      <c r="B235" s="391"/>
      <c r="C235" s="391"/>
      <c r="D235" s="391"/>
      <c r="E235" s="391"/>
      <c r="F235" s="391"/>
      <c r="G235" s="391"/>
      <c r="H235" s="391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  <c r="T235" s="391"/>
      <c r="U235" s="391"/>
      <c r="V235" s="391"/>
      <c r="W235" s="391"/>
      <c r="X235" s="391"/>
      <c r="Y235" s="391"/>
      <c r="Z235" s="391"/>
    </row>
    <row r="236" ht="15.75" customHeight="1">
      <c r="A236" s="391"/>
      <c r="B236" s="391"/>
      <c r="C236" s="391"/>
      <c r="D236" s="391"/>
      <c r="E236" s="391"/>
      <c r="F236" s="391"/>
      <c r="G236" s="391"/>
      <c r="H236" s="391"/>
      <c r="I236" s="391"/>
      <c r="J236" s="391"/>
      <c r="K236" s="391"/>
      <c r="L236" s="391"/>
      <c r="M236" s="391"/>
      <c r="N236" s="391"/>
      <c r="O236" s="391"/>
      <c r="P236" s="391"/>
      <c r="Q236" s="391"/>
      <c r="R236" s="391"/>
      <c r="S236" s="391"/>
      <c r="T236" s="391"/>
      <c r="U236" s="391"/>
      <c r="V236" s="391"/>
      <c r="W236" s="391"/>
      <c r="X236" s="391"/>
      <c r="Y236" s="391"/>
      <c r="Z236" s="391"/>
    </row>
    <row r="237" ht="15.75" customHeight="1">
      <c r="A237" s="391"/>
      <c r="B237" s="391"/>
      <c r="C237" s="391"/>
      <c r="D237" s="391"/>
      <c r="E237" s="391"/>
      <c r="F237" s="391"/>
      <c r="G237" s="391"/>
      <c r="H237" s="391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  <c r="T237" s="391"/>
      <c r="U237" s="391"/>
      <c r="V237" s="391"/>
      <c r="W237" s="391"/>
      <c r="X237" s="391"/>
      <c r="Y237" s="391"/>
      <c r="Z237" s="391"/>
    </row>
    <row r="238" ht="15.75" customHeight="1">
      <c r="A238" s="391"/>
      <c r="B238" s="391"/>
      <c r="C238" s="391"/>
      <c r="D238" s="391"/>
      <c r="E238" s="391"/>
      <c r="F238" s="391"/>
      <c r="G238" s="391"/>
      <c r="H238" s="391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  <c r="T238" s="391"/>
      <c r="U238" s="391"/>
      <c r="V238" s="391"/>
      <c r="W238" s="391"/>
      <c r="X238" s="391"/>
      <c r="Y238" s="391"/>
      <c r="Z238" s="391"/>
    </row>
    <row r="239" ht="15.75" customHeight="1">
      <c r="A239" s="391"/>
      <c r="B239" s="391"/>
      <c r="C239" s="391"/>
      <c r="D239" s="391"/>
      <c r="E239" s="391"/>
      <c r="F239" s="391"/>
      <c r="G239" s="391"/>
      <c r="H239" s="391"/>
      <c r="I239" s="391"/>
      <c r="J239" s="391"/>
      <c r="K239" s="391"/>
      <c r="L239" s="391"/>
      <c r="M239" s="391"/>
      <c r="N239" s="391"/>
      <c r="O239" s="391"/>
      <c r="P239" s="391"/>
      <c r="Q239" s="391"/>
      <c r="R239" s="391"/>
      <c r="S239" s="391"/>
      <c r="T239" s="391"/>
      <c r="U239" s="391"/>
      <c r="V239" s="391"/>
      <c r="W239" s="391"/>
      <c r="X239" s="391"/>
      <c r="Y239" s="391"/>
      <c r="Z239" s="391"/>
    </row>
    <row r="240" ht="15.75" customHeight="1">
      <c r="A240" s="391"/>
      <c r="B240" s="391"/>
      <c r="C240" s="391"/>
      <c r="D240" s="391"/>
      <c r="E240" s="391"/>
      <c r="F240" s="391"/>
      <c r="G240" s="391"/>
      <c r="H240" s="391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  <c r="T240" s="391"/>
      <c r="U240" s="391"/>
      <c r="V240" s="391"/>
      <c r="W240" s="391"/>
      <c r="X240" s="391"/>
      <c r="Y240" s="391"/>
      <c r="Z240" s="391"/>
    </row>
    <row r="241" ht="15.75" customHeight="1">
      <c r="A241" s="391"/>
      <c r="B241" s="391"/>
      <c r="C241" s="391"/>
      <c r="D241" s="391"/>
      <c r="E241" s="391"/>
      <c r="F241" s="391"/>
      <c r="G241" s="391"/>
      <c r="H241" s="391"/>
      <c r="I241" s="391"/>
      <c r="J241" s="391"/>
      <c r="K241" s="391"/>
      <c r="L241" s="391"/>
      <c r="M241" s="391"/>
      <c r="N241" s="391"/>
      <c r="O241" s="391"/>
      <c r="P241" s="391"/>
      <c r="Q241" s="391"/>
      <c r="R241" s="391"/>
      <c r="S241" s="391"/>
      <c r="T241" s="391"/>
      <c r="U241" s="391"/>
      <c r="V241" s="391"/>
      <c r="W241" s="391"/>
      <c r="X241" s="391"/>
      <c r="Y241" s="391"/>
      <c r="Z241" s="391"/>
    </row>
    <row r="242" ht="15.75" customHeight="1">
      <c r="A242" s="391"/>
      <c r="B242" s="391"/>
      <c r="C242" s="391"/>
      <c r="D242" s="391"/>
      <c r="E242" s="391"/>
      <c r="F242" s="391"/>
      <c r="G242" s="391"/>
      <c r="H242" s="391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  <c r="T242" s="391"/>
      <c r="U242" s="391"/>
      <c r="V242" s="391"/>
      <c r="W242" s="391"/>
      <c r="X242" s="391"/>
      <c r="Y242" s="391"/>
      <c r="Z242" s="391"/>
    </row>
    <row r="243" ht="15.75" customHeight="1">
      <c r="A243" s="391"/>
      <c r="B243" s="391"/>
      <c r="C243" s="391"/>
      <c r="D243" s="391"/>
      <c r="E243" s="391"/>
      <c r="F243" s="391"/>
      <c r="G243" s="391"/>
      <c r="H243" s="391"/>
      <c r="I243" s="391"/>
      <c r="J243" s="391"/>
      <c r="K243" s="391"/>
      <c r="L243" s="391"/>
      <c r="M243" s="391"/>
      <c r="N243" s="391"/>
      <c r="O243" s="391"/>
      <c r="P243" s="391"/>
      <c r="Q243" s="391"/>
      <c r="R243" s="391"/>
      <c r="S243" s="391"/>
      <c r="T243" s="391"/>
      <c r="U243" s="391"/>
      <c r="V243" s="391"/>
      <c r="W243" s="391"/>
      <c r="X243" s="391"/>
      <c r="Y243" s="391"/>
      <c r="Z243" s="391"/>
    </row>
    <row r="244" ht="15.75" customHeight="1">
      <c r="A244" s="391"/>
      <c r="B244" s="391"/>
      <c r="C244" s="391"/>
      <c r="D244" s="391"/>
      <c r="E244" s="391"/>
      <c r="F244" s="391"/>
      <c r="G244" s="391"/>
      <c r="H244" s="391"/>
      <c r="I244" s="391"/>
      <c r="J244" s="391"/>
      <c r="K244" s="391"/>
      <c r="L244" s="391"/>
      <c r="M244" s="391"/>
      <c r="N244" s="391"/>
      <c r="O244" s="391"/>
      <c r="P244" s="391"/>
      <c r="Q244" s="391"/>
      <c r="R244" s="391"/>
      <c r="S244" s="391"/>
      <c r="T244" s="391"/>
      <c r="U244" s="391"/>
      <c r="V244" s="391"/>
      <c r="W244" s="391"/>
      <c r="X244" s="391"/>
      <c r="Y244" s="391"/>
      <c r="Z244" s="391"/>
    </row>
    <row r="245" ht="15.75" customHeight="1">
      <c r="A245" s="391"/>
      <c r="B245" s="391"/>
      <c r="C245" s="391"/>
      <c r="D245" s="391"/>
      <c r="E245" s="391"/>
      <c r="F245" s="391"/>
      <c r="G245" s="391"/>
      <c r="H245" s="391"/>
      <c r="I245" s="391"/>
      <c r="J245" s="391"/>
      <c r="K245" s="391"/>
      <c r="L245" s="391"/>
      <c r="M245" s="391"/>
      <c r="N245" s="391"/>
      <c r="O245" s="391"/>
      <c r="P245" s="391"/>
      <c r="Q245" s="391"/>
      <c r="R245" s="391"/>
      <c r="S245" s="391"/>
      <c r="T245" s="391"/>
      <c r="U245" s="391"/>
      <c r="V245" s="391"/>
      <c r="W245" s="391"/>
      <c r="X245" s="391"/>
      <c r="Y245" s="391"/>
      <c r="Z245" s="391"/>
    </row>
    <row r="246" ht="15.75" customHeight="1">
      <c r="A246" s="391"/>
      <c r="B246" s="391"/>
      <c r="C246" s="391"/>
      <c r="D246" s="391"/>
      <c r="E246" s="391"/>
      <c r="F246" s="391"/>
      <c r="G246" s="391"/>
      <c r="H246" s="391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  <c r="W246" s="391"/>
      <c r="X246" s="391"/>
      <c r="Y246" s="391"/>
      <c r="Z246" s="391"/>
    </row>
    <row r="247" ht="15.75" customHeight="1">
      <c r="A247" s="391"/>
      <c r="B247" s="391"/>
      <c r="C247" s="391"/>
      <c r="D247" s="391"/>
      <c r="E247" s="391"/>
      <c r="F247" s="391"/>
      <c r="G247" s="391"/>
      <c r="H247" s="391"/>
      <c r="I247" s="391"/>
      <c r="J247" s="391"/>
      <c r="K247" s="391"/>
      <c r="L247" s="391"/>
      <c r="M247" s="391"/>
      <c r="N247" s="391"/>
      <c r="O247" s="391"/>
      <c r="P247" s="391"/>
      <c r="Q247" s="391"/>
      <c r="R247" s="391"/>
      <c r="S247" s="391"/>
      <c r="T247" s="391"/>
      <c r="U247" s="391"/>
      <c r="V247" s="391"/>
      <c r="W247" s="391"/>
      <c r="X247" s="391"/>
      <c r="Y247" s="391"/>
      <c r="Z247" s="391"/>
    </row>
    <row r="248" ht="15.75" customHeight="1">
      <c r="A248" s="391"/>
      <c r="B248" s="391"/>
      <c r="C248" s="391"/>
      <c r="D248" s="391"/>
      <c r="E248" s="391"/>
      <c r="F248" s="391"/>
      <c r="G248" s="391"/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/>
      <c r="W248" s="391"/>
      <c r="X248" s="391"/>
      <c r="Y248" s="391"/>
      <c r="Z248" s="391"/>
    </row>
    <row r="249" ht="15.75" customHeight="1">
      <c r="A249" s="391"/>
      <c r="B249" s="391"/>
      <c r="C249" s="391"/>
      <c r="D249" s="391"/>
      <c r="E249" s="391"/>
      <c r="F249" s="391"/>
      <c r="G249" s="391"/>
      <c r="H249" s="391"/>
      <c r="I249" s="391"/>
      <c r="J249" s="391"/>
      <c r="K249" s="391"/>
      <c r="L249" s="391"/>
      <c r="M249" s="391"/>
      <c r="N249" s="391"/>
      <c r="O249" s="391"/>
      <c r="P249" s="391"/>
      <c r="Q249" s="391"/>
      <c r="R249" s="391"/>
      <c r="S249" s="391"/>
      <c r="T249" s="391"/>
      <c r="U249" s="391"/>
      <c r="V249" s="391"/>
      <c r="W249" s="391"/>
      <c r="X249" s="391"/>
      <c r="Y249" s="391"/>
      <c r="Z249" s="391"/>
    </row>
    <row r="250" ht="15.75" customHeight="1">
      <c r="A250" s="391"/>
      <c r="B250" s="391"/>
      <c r="C250" s="391"/>
      <c r="D250" s="391"/>
      <c r="E250" s="391"/>
      <c r="F250" s="391"/>
      <c r="G250" s="391"/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  <c r="W250" s="391"/>
      <c r="X250" s="391"/>
      <c r="Y250" s="391"/>
      <c r="Z250" s="391"/>
    </row>
    <row r="251" ht="15.75" customHeight="1">
      <c r="A251" s="391"/>
      <c r="B251" s="391"/>
      <c r="C251" s="391"/>
      <c r="D251" s="391"/>
      <c r="E251" s="391"/>
      <c r="F251" s="391"/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391"/>
      <c r="X251" s="391"/>
      <c r="Y251" s="391"/>
      <c r="Z251" s="391"/>
    </row>
    <row r="252" ht="15.75" customHeight="1">
      <c r="A252" s="391"/>
      <c r="B252" s="391"/>
      <c r="C252" s="391"/>
      <c r="D252" s="391"/>
      <c r="E252" s="391"/>
      <c r="F252" s="391"/>
      <c r="G252" s="391"/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  <c r="T252" s="391"/>
      <c r="U252" s="391"/>
      <c r="V252" s="391"/>
      <c r="W252" s="391"/>
      <c r="X252" s="391"/>
      <c r="Y252" s="391"/>
      <c r="Z252" s="391"/>
    </row>
    <row r="253" ht="15.75" customHeight="1">
      <c r="A253" s="391"/>
      <c r="B253" s="391"/>
      <c r="C253" s="391"/>
      <c r="D253" s="391"/>
      <c r="E253" s="391"/>
      <c r="F253" s="391"/>
      <c r="G253" s="391"/>
      <c r="H253" s="391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  <c r="T253" s="391"/>
      <c r="U253" s="391"/>
      <c r="V253" s="391"/>
      <c r="W253" s="391"/>
      <c r="X253" s="391"/>
      <c r="Y253" s="391"/>
      <c r="Z253" s="39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10:F10"/>
    <mergeCell ref="A18:F18"/>
    <mergeCell ref="A25:F25"/>
    <mergeCell ref="A33:F33"/>
    <mergeCell ref="A43:F43"/>
  </mergeCells>
  <printOptions/>
  <pageMargins bottom="0.75" footer="0.0" header="0.0" left="0.7" right="0.7" top="0.75"/>
  <pageSetup orientation="landscape"/>
  <drawing r:id="rId1"/>
</worksheet>
</file>